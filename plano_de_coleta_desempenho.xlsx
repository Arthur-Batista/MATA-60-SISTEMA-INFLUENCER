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thur\Desktop\UFBA\06-sexto-semestre\banco-de-dados\"/>
    </mc:Choice>
  </mc:AlternateContent>
  <xr:revisionPtr revIDLastSave="0" documentId="13_ncr:1_{FBC1C42C-B069-4B41-B7A1-37C7F0815B4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oleta de Desempenho (MATA60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1" i="2" l="1"/>
  <c r="AR31" i="2"/>
  <c r="W31" i="2"/>
  <c r="V31" i="2"/>
  <c r="AS30" i="2"/>
  <c r="AR30" i="2"/>
  <c r="W30" i="2"/>
  <c r="V30" i="2"/>
  <c r="AS29" i="2"/>
  <c r="AR29" i="2"/>
  <c r="W29" i="2"/>
  <c r="V29" i="2"/>
  <c r="AS28" i="2"/>
  <c r="AR28" i="2"/>
  <c r="W28" i="2"/>
  <c r="V28" i="2"/>
  <c r="AT28" i="2" s="1"/>
  <c r="AS27" i="2"/>
  <c r="AR27" i="2"/>
  <c r="W27" i="2"/>
  <c r="V27" i="2"/>
  <c r="AS26" i="2"/>
  <c r="AR26" i="2"/>
  <c r="W26" i="2"/>
  <c r="V26" i="2"/>
  <c r="AS25" i="2"/>
  <c r="AR25" i="2"/>
  <c r="W25" i="2"/>
  <c r="V25" i="2"/>
  <c r="AT25" i="2" s="1"/>
  <c r="AS24" i="2"/>
  <c r="AR24" i="2"/>
  <c r="W24" i="2"/>
  <c r="V24" i="2"/>
  <c r="AS23" i="2"/>
  <c r="AR23" i="2"/>
  <c r="W23" i="2"/>
  <c r="V23" i="2"/>
  <c r="AS22" i="2"/>
  <c r="AR22" i="2"/>
  <c r="W22" i="2"/>
  <c r="V22" i="2"/>
  <c r="AT22" i="2" s="1"/>
  <c r="AS21" i="2"/>
  <c r="AR21" i="2"/>
  <c r="AT21" i="2" s="1"/>
  <c r="W21" i="2"/>
  <c r="V21" i="2"/>
  <c r="AS20" i="2"/>
  <c r="AR20" i="2"/>
  <c r="W20" i="2"/>
  <c r="V20" i="2"/>
  <c r="AS19" i="2"/>
  <c r="AR19" i="2"/>
  <c r="W19" i="2"/>
  <c r="V19" i="2"/>
  <c r="AT19" i="2" s="1"/>
  <c r="AS18" i="2"/>
  <c r="AR18" i="2"/>
  <c r="W18" i="2"/>
  <c r="V18" i="2"/>
  <c r="AS17" i="2"/>
  <c r="AR17" i="2"/>
  <c r="W17" i="2"/>
  <c r="V17" i="2"/>
  <c r="AS16" i="2"/>
  <c r="AR16" i="2"/>
  <c r="W16" i="2"/>
  <c r="V16" i="2"/>
  <c r="AT16" i="2" s="1"/>
  <c r="AS15" i="2"/>
  <c r="AR15" i="2"/>
  <c r="W15" i="2"/>
  <c r="V15" i="2"/>
  <c r="AS14" i="2"/>
  <c r="AR14" i="2"/>
  <c r="W14" i="2"/>
  <c r="V14" i="2"/>
  <c r="AS13" i="2"/>
  <c r="AR13" i="2"/>
  <c r="W13" i="2"/>
  <c r="V13" i="2"/>
  <c r="AT13" i="2" s="1"/>
  <c r="AS12" i="2"/>
  <c r="AR12" i="2"/>
  <c r="AT12" i="2" s="1"/>
  <c r="W12" i="2"/>
  <c r="V12" i="2"/>
  <c r="AS11" i="2"/>
  <c r="AR11" i="2"/>
  <c r="W11" i="2"/>
  <c r="V11" i="2"/>
  <c r="AS10" i="2"/>
  <c r="AR10" i="2"/>
  <c r="W10" i="2"/>
  <c r="V10" i="2"/>
  <c r="AS9" i="2"/>
  <c r="AR9" i="2"/>
  <c r="W9" i="2"/>
  <c r="V9" i="2"/>
  <c r="AS8" i="2"/>
  <c r="AR8" i="2"/>
  <c r="W8" i="2"/>
  <c r="V8" i="2"/>
  <c r="AS7" i="2"/>
  <c r="AR7" i="2"/>
  <c r="W7" i="2"/>
  <c r="V7" i="2"/>
  <c r="AS6" i="2"/>
  <c r="AR6" i="2"/>
  <c r="W6" i="2"/>
  <c r="V6" i="2"/>
  <c r="AS5" i="2"/>
  <c r="AR5" i="2"/>
  <c r="W5" i="2"/>
  <c r="V5" i="2"/>
  <c r="AS4" i="2"/>
  <c r="AR4" i="2"/>
  <c r="W4" i="2"/>
  <c r="V4" i="2"/>
  <c r="AS3" i="2"/>
  <c r="AR3" i="2"/>
  <c r="W3" i="2"/>
  <c r="V3" i="2"/>
  <c r="AS2" i="2"/>
  <c r="AR2" i="2"/>
  <c r="W2" i="2"/>
  <c r="V2" i="2"/>
  <c r="AT23" i="2" l="1"/>
  <c r="AT24" i="2"/>
  <c r="AT27" i="2"/>
  <c r="AT29" i="2"/>
  <c r="AT31" i="2"/>
  <c r="AT10" i="2"/>
  <c r="AT2" i="2"/>
  <c r="AT5" i="2"/>
  <c r="AT7" i="2"/>
  <c r="AT9" i="2"/>
  <c r="AT15" i="2"/>
  <c r="AT18" i="2"/>
  <c r="AT4" i="2"/>
  <c r="AT30" i="2"/>
  <c r="AT8" i="2"/>
  <c r="AT11" i="2"/>
  <c r="AT14" i="2"/>
  <c r="AT17" i="2"/>
  <c r="AT20" i="2"/>
  <c r="AT3" i="2"/>
  <c r="AT6" i="2"/>
  <c r="AT26" i="2"/>
</calcChain>
</file>

<file path=xl/sharedStrings.xml><?xml version="1.0" encoding="utf-8"?>
<sst xmlns="http://schemas.openxmlformats.org/spreadsheetml/2006/main" count="76" uniqueCount="76">
  <si>
    <t>Query (Consulta)</t>
  </si>
  <si>
    <t>Baseline_T1</t>
  </si>
  <si>
    <t>Baseline_T2</t>
  </si>
  <si>
    <t>Baseline_T3</t>
  </si>
  <si>
    <t>Baseline_T4</t>
  </si>
  <si>
    <t>Baseline_T5</t>
  </si>
  <si>
    <t>Baseline_T6</t>
  </si>
  <si>
    <t>Baseline_T7</t>
  </si>
  <si>
    <t>Baseline_T8</t>
  </si>
  <si>
    <t>Baseline_T9</t>
  </si>
  <si>
    <t>Baseline_T10</t>
  </si>
  <si>
    <t>Baseline_T11</t>
  </si>
  <si>
    <t>Baseline_T12</t>
  </si>
  <si>
    <t>Baseline_T13</t>
  </si>
  <si>
    <t>Baseline_T14</t>
  </si>
  <si>
    <t>Baseline_T15</t>
  </si>
  <si>
    <t>Baseline_T16</t>
  </si>
  <si>
    <t>Baseline_T17</t>
  </si>
  <si>
    <t>Baseline_T18</t>
  </si>
  <si>
    <t>Baseline_T19</t>
  </si>
  <si>
    <t>Baseline_T20</t>
  </si>
  <si>
    <t>Media_Baseline</t>
  </si>
  <si>
    <t>DesvioPadrao_Baseline</t>
  </si>
  <si>
    <t>ComIndice_T1</t>
  </si>
  <si>
    <t>ComIndice_T2</t>
  </si>
  <si>
    <t>ComIndice_T3</t>
  </si>
  <si>
    <t>ComIndice_T4</t>
  </si>
  <si>
    <t>ComIndice_T5</t>
  </si>
  <si>
    <t>ComIndice_T6</t>
  </si>
  <si>
    <t>ComIndice_T7</t>
  </si>
  <si>
    <t>ComIndice_T8</t>
  </si>
  <si>
    <t>ComIndice_T9</t>
  </si>
  <si>
    <t>ComIndice_T10</t>
  </si>
  <si>
    <t>ComIndice_T11</t>
  </si>
  <si>
    <t>ComIndice_T12</t>
  </si>
  <si>
    <t>ComIndice_T13</t>
  </si>
  <si>
    <t>ComIndice_T14</t>
  </si>
  <si>
    <t>ComIndice_T15</t>
  </si>
  <si>
    <t>ComIndice_T16</t>
  </si>
  <si>
    <t>ComIndice_T17</t>
  </si>
  <si>
    <t>ComIndice_T18</t>
  </si>
  <si>
    <t>ComIndice_T19</t>
  </si>
  <si>
    <t>ComIndice_T20</t>
  </si>
  <si>
    <t>Media_ComIndice</t>
  </si>
  <si>
    <t>DesvioPadrao_ComIndice</t>
  </si>
  <si>
    <t>Speedup (x)</t>
  </si>
  <si>
    <t>Q_Intermediaria_01</t>
  </si>
  <si>
    <t>Q_Intermediaria_02</t>
  </si>
  <si>
    <t>Q_Intermediaria_03</t>
  </si>
  <si>
    <t>Q_Intermediaria_04</t>
  </si>
  <si>
    <t>Q_Intermediaria_05</t>
  </si>
  <si>
    <t>Q_Intermediaria_06</t>
  </si>
  <si>
    <t>Q_Intermediaria_07</t>
  </si>
  <si>
    <t>Q_Intermediaria_08</t>
  </si>
  <si>
    <t>Q_Intermediaria_09</t>
  </si>
  <si>
    <t>Q_Intermediaria_10</t>
  </si>
  <si>
    <t>Q_Avancada_01</t>
  </si>
  <si>
    <t>Q_Avancada_02</t>
  </si>
  <si>
    <t>Q_Avancada_03</t>
  </si>
  <si>
    <t>Q_Avancada_04</t>
  </si>
  <si>
    <t>Q_Avancada_05</t>
  </si>
  <si>
    <t>Q_Avancada_06</t>
  </si>
  <si>
    <t>Q_Avancada_07</t>
  </si>
  <si>
    <t>Q_Avancada_08</t>
  </si>
  <si>
    <t>Q_Avancada_09</t>
  </si>
  <si>
    <t>Q_Avancada_10</t>
  </si>
  <si>
    <t>Q_Avancada_11</t>
  </si>
  <si>
    <t>Q_Avancada_12</t>
  </si>
  <si>
    <t>Q_Avancada_13</t>
  </si>
  <si>
    <t>Q_Avancada_14</t>
  </si>
  <si>
    <t>Q_Avancada_15</t>
  </si>
  <si>
    <t>Q_Avancada_16</t>
  </si>
  <si>
    <t>Q_Avancada_17</t>
  </si>
  <si>
    <t>Q_Avancada_18</t>
  </si>
  <si>
    <t>Q_Avancada_19</t>
  </si>
  <si>
    <t>Q_Avancada_20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</si>
</sst>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 &quot;ms&quot;"/>
    <numFmt numFmtId="165" formatCode="0.00&quot;x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3" borderId="1" xfId="0" applyFill="1" applyBorder="1"/>
    <xf numFmtId="164" fontId="3" fillId="4" borderId="1" xfId="0" applyNumberFormat="1" applyFont="1" applyFill="1" applyBorder="1"/>
    <xf numFmtId="165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3E08-DC29-4531-BD7A-DF6840518752}">
  <dimension ref="A1:AT31"/>
  <sheetViews>
    <sheetView tabSelected="1" workbookViewId="0">
      <selection activeCell="E5" sqref="E5"/>
    </sheetView>
  </sheetViews>
  <sheetFormatPr defaultRowHeight="15" x14ac:dyDescent="0.25"/>
  <cols>
    <col min="1" max="1" width="18.85546875" bestFit="1" customWidth="1"/>
    <col min="2" max="10" width="11.5703125" bestFit="1" customWidth="1"/>
    <col min="11" max="21" width="12.5703125" bestFit="1" customWidth="1"/>
    <col min="22" max="22" width="15.42578125" bestFit="1" customWidth="1"/>
    <col min="23" max="23" width="19.7109375" bestFit="1" customWidth="1"/>
    <col min="24" max="32" width="13.5703125" bestFit="1" customWidth="1"/>
    <col min="33" max="43" width="14.5703125" bestFit="1" customWidth="1"/>
    <col min="44" max="44" width="17.42578125" bestFit="1" customWidth="1"/>
    <col min="45" max="45" width="19.85546875" bestFit="1" customWidth="1"/>
    <col min="46" max="46" width="11.7109375" bestFit="1" customWidth="1"/>
  </cols>
  <sheetData>
    <row r="1" spans="1:4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2" t="s">
        <v>46</v>
      </c>
      <c r="B2" s="3">
        <v>1.901</v>
      </c>
      <c r="C2" s="3">
        <v>1.919</v>
      </c>
      <c r="D2" s="3">
        <v>2.327</v>
      </c>
      <c r="E2" s="3">
        <v>2.577</v>
      </c>
      <c r="F2" s="3">
        <v>2.6970000000000001</v>
      </c>
      <c r="G2" s="3">
        <v>2.262</v>
      </c>
      <c r="H2" s="3">
        <v>1.8779999999999999</v>
      </c>
      <c r="I2" s="3">
        <v>2.036</v>
      </c>
      <c r="J2" s="3">
        <v>1.968</v>
      </c>
      <c r="K2" s="3">
        <v>2.2879999999999998</v>
      </c>
      <c r="L2" s="3">
        <v>2.4169999999999998</v>
      </c>
      <c r="M2" s="3">
        <v>2.3340000000000001</v>
      </c>
      <c r="N2" s="3">
        <v>3.5619999999999998</v>
      </c>
      <c r="O2" s="3">
        <v>3.286</v>
      </c>
      <c r="P2" s="3">
        <v>3.129</v>
      </c>
      <c r="Q2" s="3">
        <v>2.14</v>
      </c>
      <c r="R2" s="3">
        <v>3.165</v>
      </c>
      <c r="S2" s="3">
        <v>2.9430000000000001</v>
      </c>
      <c r="T2" s="3">
        <v>3.4060000000000001</v>
      </c>
      <c r="U2" s="3">
        <v>3.1440000000000001</v>
      </c>
      <c r="V2" s="4">
        <f t="shared" ref="V2:V31" si="0">IFERROR(AVERAGE(B2:U2), 0)</f>
        <v>2.5689500000000001</v>
      </c>
      <c r="W2" s="4">
        <f>IFERROR(_xlfn.STDEV.P(B2:U2), 0)</f>
        <v>0.54046789682644447</v>
      </c>
      <c r="X2" s="3">
        <v>3.331</v>
      </c>
      <c r="Y2" s="3">
        <v>3.786</v>
      </c>
      <c r="Z2" s="3">
        <v>2.7850000000000001</v>
      </c>
      <c r="AA2" s="3">
        <v>3.2679999999999998</v>
      </c>
      <c r="AB2" s="3">
        <v>3.008</v>
      </c>
      <c r="AC2" s="3">
        <v>2.7120000000000002</v>
      </c>
      <c r="AD2" s="3">
        <v>2.3010000000000002</v>
      </c>
      <c r="AE2" s="3">
        <v>2.5550000000000002</v>
      </c>
      <c r="AF2" s="3">
        <v>2.129</v>
      </c>
      <c r="AG2" s="3">
        <v>3.1829999999999998</v>
      </c>
      <c r="AH2" s="3">
        <v>1.71</v>
      </c>
      <c r="AI2" s="3">
        <v>2.3730000000000002</v>
      </c>
      <c r="AJ2" s="3">
        <v>2.9660000000000002</v>
      </c>
      <c r="AK2" s="3">
        <v>1.9370000000000001</v>
      </c>
      <c r="AL2" s="3">
        <v>2.089</v>
      </c>
      <c r="AM2" s="3">
        <v>3.0790000000000002</v>
      </c>
      <c r="AN2" s="3">
        <v>2.2240000000000002</v>
      </c>
      <c r="AO2" s="3">
        <v>3.2490000000000001</v>
      </c>
      <c r="AP2" s="3">
        <v>1.9319999999999999</v>
      </c>
      <c r="AQ2" s="3">
        <v>2.9319999999999999</v>
      </c>
      <c r="AR2" s="4">
        <f t="shared" ref="AR2:AR31" si="1">IFERROR(AVERAGE(X2:AQ2), 0)</f>
        <v>2.6774500000000008</v>
      </c>
      <c r="AS2" s="4">
        <f t="shared" ref="AS2:AS11" si="2">IFERROR(_xlfn.STDEV.P(X2:AQ2), 0)</f>
        <v>0.55499283553933976</v>
      </c>
      <c r="AT2" s="5">
        <f t="shared" ref="AT2:AT31" si="3">IFERROR(V2 / AR2, "N/A")</f>
        <v>0.95947636743916764</v>
      </c>
    </row>
    <row r="3" spans="1:46" x14ac:dyDescent="0.25">
      <c r="A3" s="2" t="s">
        <v>47</v>
      </c>
      <c r="B3" s="3">
        <v>12.112</v>
      </c>
      <c r="C3" s="3">
        <v>10.343999999999999</v>
      </c>
      <c r="D3" s="3">
        <v>9.2799999999999994</v>
      </c>
      <c r="E3" s="3">
        <v>11.305999999999999</v>
      </c>
      <c r="F3" s="3">
        <v>10.598000000000001</v>
      </c>
      <c r="G3" s="3">
        <v>9.0429999999999993</v>
      </c>
      <c r="H3" s="3">
        <v>8.35</v>
      </c>
      <c r="I3" s="3">
        <v>7.0529999999999999</v>
      </c>
      <c r="J3" s="3">
        <v>7.5</v>
      </c>
      <c r="K3" s="3">
        <v>7.05</v>
      </c>
      <c r="L3" s="3">
        <v>7.3029999999999999</v>
      </c>
      <c r="M3" s="3">
        <v>6.85</v>
      </c>
      <c r="N3" s="3">
        <v>6.173</v>
      </c>
      <c r="O3" s="3">
        <v>6.3630000000000004</v>
      </c>
      <c r="P3" s="3">
        <v>6.3170000000000002</v>
      </c>
      <c r="Q3" s="3">
        <v>4.8499999999999996</v>
      </c>
      <c r="R3" s="3">
        <v>5.6790000000000003</v>
      </c>
      <c r="S3" s="3">
        <v>9.0719999999999992</v>
      </c>
      <c r="T3" s="3">
        <v>9.4269999999999996</v>
      </c>
      <c r="U3" s="3">
        <v>7.6710000000000003</v>
      </c>
      <c r="V3" s="4">
        <f t="shared" si="0"/>
        <v>8.1170499999999972</v>
      </c>
      <c r="W3" s="4">
        <f t="shared" ref="W3:W31" si="4">IFERROR(_xlfn.STDEV.P(B3:U3), 0)</f>
        <v>1.9231218753630852</v>
      </c>
      <c r="X3" s="3">
        <v>9.6630000000000003</v>
      </c>
      <c r="Y3" s="3">
        <v>10.16</v>
      </c>
      <c r="Z3" s="3">
        <v>10.89</v>
      </c>
      <c r="AA3" s="3">
        <v>11.077999999999999</v>
      </c>
      <c r="AB3" s="3">
        <v>9.6530000000000005</v>
      </c>
      <c r="AC3" s="3">
        <v>11.73</v>
      </c>
      <c r="AD3" s="3">
        <v>9.69</v>
      </c>
      <c r="AE3" s="3">
        <v>5.5739999999999998</v>
      </c>
      <c r="AF3" s="3">
        <v>6.617</v>
      </c>
      <c r="AG3" s="3">
        <v>4.78</v>
      </c>
      <c r="AH3" s="3">
        <v>5.766</v>
      </c>
      <c r="AI3" s="3">
        <v>5.7169999999999996</v>
      </c>
      <c r="AJ3" s="3">
        <v>6.6390000000000002</v>
      </c>
      <c r="AK3" s="3">
        <v>4.1550000000000002</v>
      </c>
      <c r="AL3" s="3">
        <v>6.4619999999999997</v>
      </c>
      <c r="AM3" s="3">
        <v>5.3120000000000003</v>
      </c>
      <c r="AN3" s="3">
        <v>6.6520000000000001</v>
      </c>
      <c r="AO3" s="3">
        <v>6.2329999999999997</v>
      </c>
      <c r="AP3" s="3">
        <v>11.997999999999999</v>
      </c>
      <c r="AQ3" s="3">
        <v>8.7390000000000008</v>
      </c>
      <c r="AR3" s="4">
        <f t="shared" si="1"/>
        <v>7.8753999999999991</v>
      </c>
      <c r="AS3" s="4">
        <f t="shared" si="2"/>
        <v>2.4547333948924082</v>
      </c>
      <c r="AT3" s="5">
        <f t="shared" si="3"/>
        <v>1.0306841557254232</v>
      </c>
    </row>
    <row r="4" spans="1:46" x14ac:dyDescent="0.25">
      <c r="A4" s="2" t="s">
        <v>48</v>
      </c>
      <c r="B4" s="3">
        <v>2.7669999999999999</v>
      </c>
      <c r="C4" s="3">
        <v>2.3759999999999999</v>
      </c>
      <c r="D4" s="3">
        <v>1.9039999999999999</v>
      </c>
      <c r="E4" s="3">
        <v>1.79</v>
      </c>
      <c r="F4" s="3">
        <v>1.597</v>
      </c>
      <c r="G4" s="3">
        <v>1.379</v>
      </c>
      <c r="H4" s="3">
        <v>2.6339999999999999</v>
      </c>
      <c r="I4" s="3">
        <v>2.7989999999999999</v>
      </c>
      <c r="J4" s="3">
        <v>2.9249999999999998</v>
      </c>
      <c r="K4" s="3">
        <v>1.964</v>
      </c>
      <c r="L4" s="3">
        <v>1.917</v>
      </c>
      <c r="M4" s="3">
        <v>2.0720000000000001</v>
      </c>
      <c r="N4" s="3">
        <v>1.911</v>
      </c>
      <c r="O4" s="3">
        <v>1.335</v>
      </c>
      <c r="P4" s="3">
        <v>1.897</v>
      </c>
      <c r="Q4" s="3">
        <v>1.3520000000000001</v>
      </c>
      <c r="R4" s="3">
        <v>1.0580000000000001</v>
      </c>
      <c r="S4" s="3">
        <v>0.998</v>
      </c>
      <c r="T4" s="3">
        <v>1.423</v>
      </c>
      <c r="U4" s="3">
        <v>1.8720000000000001</v>
      </c>
      <c r="V4" s="4">
        <f t="shared" si="0"/>
        <v>1.8984999999999999</v>
      </c>
      <c r="W4" s="4">
        <f t="shared" si="4"/>
        <v>0.55478270520988682</v>
      </c>
      <c r="X4" s="3">
        <v>4.625</v>
      </c>
      <c r="Y4" s="3">
        <v>3.5230000000000001</v>
      </c>
      <c r="Z4" s="3">
        <v>2.7989999999999999</v>
      </c>
      <c r="AA4" s="3">
        <v>3.9329999999999998</v>
      </c>
      <c r="AB4" s="3">
        <v>2.7909999999999999</v>
      </c>
      <c r="AC4" s="3">
        <v>2.6040000000000001</v>
      </c>
      <c r="AD4" s="3">
        <v>3.605</v>
      </c>
      <c r="AE4" s="3">
        <v>3.5150000000000001</v>
      </c>
      <c r="AF4" s="3">
        <v>1.758</v>
      </c>
      <c r="AG4" s="3">
        <v>1.7629999999999999</v>
      </c>
      <c r="AH4" s="3">
        <v>2.0859999999999999</v>
      </c>
      <c r="AI4" s="3">
        <v>2.95</v>
      </c>
      <c r="AJ4" s="3">
        <v>2.3239999999999998</v>
      </c>
      <c r="AK4" s="3">
        <v>2.1389999999999998</v>
      </c>
      <c r="AL4" s="3">
        <v>1.8480000000000001</v>
      </c>
      <c r="AM4" s="3">
        <v>1.6779999999999999</v>
      </c>
      <c r="AN4" s="3">
        <v>1.645</v>
      </c>
      <c r="AO4" s="3">
        <v>1.899</v>
      </c>
      <c r="AP4" s="3">
        <v>2.1920000000000002</v>
      </c>
      <c r="AQ4" s="3">
        <v>2.4020000000000001</v>
      </c>
      <c r="AR4" s="4">
        <f t="shared" si="1"/>
        <v>2.6039500000000002</v>
      </c>
      <c r="AS4" s="4">
        <f t="shared" si="2"/>
        <v>0.82952055278938297</v>
      </c>
      <c r="AT4" s="5">
        <f t="shared" si="3"/>
        <v>0.72908465984369886</v>
      </c>
    </row>
    <row r="5" spans="1:46" x14ac:dyDescent="0.25">
      <c r="A5" s="2" t="s">
        <v>49</v>
      </c>
      <c r="B5" s="3">
        <v>6.5110000000000001</v>
      </c>
      <c r="C5" s="3">
        <v>5.2709999999999999</v>
      </c>
      <c r="D5" s="3">
        <v>6.5</v>
      </c>
      <c r="E5" s="3">
        <v>5.4039999999999999</v>
      </c>
      <c r="F5" s="3">
        <v>5.4610000000000003</v>
      </c>
      <c r="G5" s="3">
        <v>6.0439999999999996</v>
      </c>
      <c r="H5" s="3">
        <v>6.0860000000000003</v>
      </c>
      <c r="I5" s="3">
        <v>4.6840000000000002</v>
      </c>
      <c r="J5" s="3">
        <v>3.9990000000000001</v>
      </c>
      <c r="K5" s="3">
        <v>5.9009999999999998</v>
      </c>
      <c r="L5" s="3">
        <v>11.69</v>
      </c>
      <c r="M5" s="3">
        <v>12.439</v>
      </c>
      <c r="N5" s="3">
        <v>13.365</v>
      </c>
      <c r="O5" s="3">
        <v>14.8</v>
      </c>
      <c r="P5" s="3">
        <v>9.9619999999999997</v>
      </c>
      <c r="Q5" s="3">
        <v>8.1359999999999992</v>
      </c>
      <c r="R5" s="3">
        <v>8.3040000000000003</v>
      </c>
      <c r="S5" s="3">
        <v>6.4160000000000004</v>
      </c>
      <c r="T5" s="3">
        <v>7.7370000000000001</v>
      </c>
      <c r="U5" s="3">
        <v>8.0609999999999999</v>
      </c>
      <c r="V5" s="4">
        <f t="shared" si="0"/>
        <v>7.8385499999999979</v>
      </c>
      <c r="W5" s="4">
        <f t="shared" si="4"/>
        <v>2.986338183712629</v>
      </c>
      <c r="X5" s="3">
        <v>7.1180000000000003</v>
      </c>
      <c r="Y5" s="3">
        <v>5.5830000000000002</v>
      </c>
      <c r="Z5" s="3">
        <v>7.1059999999999999</v>
      </c>
      <c r="AA5" s="3">
        <v>6.92</v>
      </c>
      <c r="AB5" s="3">
        <v>8.1630000000000003</v>
      </c>
      <c r="AC5" s="3">
        <v>10.007999999999999</v>
      </c>
      <c r="AD5" s="3">
        <v>10.215999999999999</v>
      </c>
      <c r="AE5" s="3">
        <v>6.726</v>
      </c>
      <c r="AF5" s="3">
        <v>11.97</v>
      </c>
      <c r="AG5" s="3">
        <v>8.9510000000000005</v>
      </c>
      <c r="AH5" s="3">
        <v>7.1680000000000001</v>
      </c>
      <c r="AI5" s="3">
        <v>6.2789999999999999</v>
      </c>
      <c r="AJ5" s="3">
        <v>6.29</v>
      </c>
      <c r="AK5" s="3">
        <v>6.3440000000000003</v>
      </c>
      <c r="AL5" s="3">
        <v>11.802</v>
      </c>
      <c r="AM5" s="3">
        <v>9.0640000000000001</v>
      </c>
      <c r="AN5" s="3">
        <v>7.58</v>
      </c>
      <c r="AO5" s="3">
        <v>8.1519999999999992</v>
      </c>
      <c r="AP5" s="3">
        <v>6.26</v>
      </c>
      <c r="AQ5" s="3">
        <v>6.57</v>
      </c>
      <c r="AR5" s="4">
        <f t="shared" si="1"/>
        <v>7.9134999999999991</v>
      </c>
      <c r="AS5" s="4">
        <f t="shared" si="2"/>
        <v>1.8148453790888097</v>
      </c>
      <c r="AT5" s="5">
        <f t="shared" si="3"/>
        <v>0.99052884311619371</v>
      </c>
    </row>
    <row r="6" spans="1:46" x14ac:dyDescent="0.25">
      <c r="A6" s="2" t="s">
        <v>50</v>
      </c>
      <c r="B6" s="3">
        <v>3.3759999999999999</v>
      </c>
      <c r="C6" s="3">
        <v>2.2050000000000001</v>
      </c>
      <c r="D6" s="3">
        <v>2.4670000000000001</v>
      </c>
      <c r="E6" s="3">
        <v>2.4</v>
      </c>
      <c r="F6" s="3">
        <v>1.784</v>
      </c>
      <c r="G6" s="3">
        <v>1.82</v>
      </c>
      <c r="H6" s="3">
        <v>4.625</v>
      </c>
      <c r="I6" s="3">
        <v>3.4319999999999999</v>
      </c>
      <c r="J6" s="3">
        <v>3.5590000000000002</v>
      </c>
      <c r="K6" s="3">
        <v>2.2570000000000001</v>
      </c>
      <c r="L6" s="3">
        <v>1.883</v>
      </c>
      <c r="M6" s="3">
        <v>2.8460000000000001</v>
      </c>
      <c r="N6" s="3">
        <v>2.3130000000000002</v>
      </c>
      <c r="O6" s="3">
        <v>2.605</v>
      </c>
      <c r="P6" s="3">
        <v>2.9820000000000002</v>
      </c>
      <c r="Q6" s="3">
        <v>2.0979999999999999</v>
      </c>
      <c r="R6" s="3">
        <v>1.724</v>
      </c>
      <c r="S6" s="3">
        <v>1.5840000000000001</v>
      </c>
      <c r="T6" s="3">
        <v>2.1469999999999998</v>
      </c>
      <c r="U6" s="3">
        <v>1.9810000000000001</v>
      </c>
      <c r="V6" s="4">
        <f t="shared" si="0"/>
        <v>2.5043999999999995</v>
      </c>
      <c r="W6" s="4">
        <f t="shared" si="4"/>
        <v>0.74767863417380209</v>
      </c>
      <c r="X6" s="3">
        <v>1.105</v>
      </c>
      <c r="Y6" s="3">
        <v>4.3339999999999996</v>
      </c>
      <c r="Z6" s="3">
        <v>3.415</v>
      </c>
      <c r="AA6" s="3">
        <v>3.1160000000000001</v>
      </c>
      <c r="AB6" s="3">
        <v>2.9260000000000002</v>
      </c>
      <c r="AC6" s="3">
        <v>2.298</v>
      </c>
      <c r="AD6" s="3">
        <v>3.153</v>
      </c>
      <c r="AE6" s="3">
        <v>2.1</v>
      </c>
      <c r="AF6" s="3">
        <v>2.3119999999999998</v>
      </c>
      <c r="AG6" s="3">
        <v>4.2430000000000003</v>
      </c>
      <c r="AH6" s="3">
        <v>2.7770000000000001</v>
      </c>
      <c r="AI6" s="3">
        <v>3.097</v>
      </c>
      <c r="AJ6" s="3">
        <v>2.0329999999999999</v>
      </c>
      <c r="AK6" s="3">
        <v>1.8620000000000001</v>
      </c>
      <c r="AL6" s="3">
        <v>1.986</v>
      </c>
      <c r="AM6" s="3">
        <v>1.71</v>
      </c>
      <c r="AN6" s="3">
        <v>1.59</v>
      </c>
      <c r="AO6" s="3">
        <v>1.7230000000000001</v>
      </c>
      <c r="AP6" s="3">
        <v>1.9830000000000001</v>
      </c>
      <c r="AQ6" s="3">
        <v>1.5660000000000001</v>
      </c>
      <c r="AR6" s="4">
        <f t="shared" si="1"/>
        <v>2.4664500000000005</v>
      </c>
      <c r="AS6" s="4">
        <f t="shared" si="2"/>
        <v>0.86324599477784958</v>
      </c>
      <c r="AT6" s="5">
        <f t="shared" si="3"/>
        <v>1.0153864866508542</v>
      </c>
    </row>
    <row r="7" spans="1:46" x14ac:dyDescent="0.25">
      <c r="A7" s="2" t="s">
        <v>51</v>
      </c>
      <c r="B7" s="3">
        <v>1.3979999999999999</v>
      </c>
      <c r="C7" s="3">
        <v>1.228</v>
      </c>
      <c r="D7" s="3">
        <v>1.115</v>
      </c>
      <c r="E7" s="3">
        <v>1.093</v>
      </c>
      <c r="F7" s="3">
        <v>1.1080000000000001</v>
      </c>
      <c r="G7" s="3">
        <v>1.115</v>
      </c>
      <c r="H7" s="3">
        <v>1.091</v>
      </c>
      <c r="I7" s="3">
        <v>0.67700000000000005</v>
      </c>
      <c r="J7" s="3">
        <v>1.0469999999999999</v>
      </c>
      <c r="K7" s="3">
        <v>1.0840000000000001</v>
      </c>
      <c r="L7" s="3">
        <v>1.0720000000000001</v>
      </c>
      <c r="M7" s="3">
        <v>0.75700000000000001</v>
      </c>
      <c r="N7" s="3">
        <v>0.69299999999999995</v>
      </c>
      <c r="O7" s="3">
        <v>0.83899999999999997</v>
      </c>
      <c r="P7" s="3">
        <v>0.81499999999999995</v>
      </c>
      <c r="Q7" s="3">
        <v>1.0089999999999999</v>
      </c>
      <c r="R7" s="3">
        <v>1.091</v>
      </c>
      <c r="S7" s="3">
        <v>1.1180000000000001</v>
      </c>
      <c r="T7" s="3">
        <v>1.153</v>
      </c>
      <c r="U7" s="3">
        <v>1.492</v>
      </c>
      <c r="V7" s="4">
        <f t="shared" si="0"/>
        <v>1.04975</v>
      </c>
      <c r="W7" s="4">
        <f t="shared" si="4"/>
        <v>0.20443969159632483</v>
      </c>
      <c r="X7" s="3">
        <v>1.3620000000000001</v>
      </c>
      <c r="Y7" s="3">
        <v>1.2190000000000001</v>
      </c>
      <c r="Z7" s="3">
        <v>1.3169999999999999</v>
      </c>
      <c r="AA7" s="3">
        <v>1.365</v>
      </c>
      <c r="AB7" s="3">
        <v>1.212</v>
      </c>
      <c r="AC7" s="3">
        <v>0.76</v>
      </c>
      <c r="AD7" s="3">
        <v>1.1839999999999999</v>
      </c>
      <c r="AE7" s="3">
        <v>1.53</v>
      </c>
      <c r="AF7" s="3">
        <v>1.333</v>
      </c>
      <c r="AG7" s="3">
        <v>1.0880000000000001</v>
      </c>
      <c r="AH7" s="3">
        <v>1.077</v>
      </c>
      <c r="AI7" s="3">
        <v>1.069</v>
      </c>
      <c r="AJ7" s="3">
        <v>1.0660000000000001</v>
      </c>
      <c r="AK7" s="3">
        <v>1.081</v>
      </c>
      <c r="AL7" s="3">
        <v>1.077</v>
      </c>
      <c r="AM7" s="3">
        <v>1.244</v>
      </c>
      <c r="AN7" s="3">
        <v>1.222</v>
      </c>
      <c r="AO7" s="3">
        <v>1.31</v>
      </c>
      <c r="AP7" s="3">
        <v>1.2230000000000001</v>
      </c>
      <c r="AQ7" s="3">
        <v>1.3440000000000001</v>
      </c>
      <c r="AR7" s="4">
        <f t="shared" si="1"/>
        <v>1.2041500000000001</v>
      </c>
      <c r="AS7" s="4">
        <f t="shared" si="2"/>
        <v>0.16056595996661435</v>
      </c>
      <c r="AT7" s="5">
        <f t="shared" si="3"/>
        <v>0.87177677199684422</v>
      </c>
    </row>
    <row r="8" spans="1:46" x14ac:dyDescent="0.25">
      <c r="A8" s="2" t="s">
        <v>52</v>
      </c>
      <c r="B8" s="3">
        <v>1.9910000000000001</v>
      </c>
      <c r="C8" s="3">
        <v>1.6759999999999999</v>
      </c>
      <c r="D8" s="3">
        <v>1.528</v>
      </c>
      <c r="E8" s="3">
        <v>1.242</v>
      </c>
      <c r="F8" s="3">
        <v>1.105</v>
      </c>
      <c r="G8" s="3">
        <v>0.93799999999999994</v>
      </c>
      <c r="H8" s="3">
        <v>0.93100000000000005</v>
      </c>
      <c r="I8" s="3">
        <v>1.3129999999999999</v>
      </c>
      <c r="J8" s="3">
        <v>0.98799999999999999</v>
      </c>
      <c r="K8" s="3">
        <v>0.995</v>
      </c>
      <c r="L8" s="3">
        <v>1.75</v>
      </c>
      <c r="M8" s="3">
        <v>1.7849999999999999</v>
      </c>
      <c r="N8" s="3">
        <v>1.1619999999999999</v>
      </c>
      <c r="O8" s="3">
        <v>1.746</v>
      </c>
      <c r="P8" s="3">
        <v>1.8</v>
      </c>
      <c r="Q8" s="3">
        <v>0.97699999999999998</v>
      </c>
      <c r="R8" s="3">
        <v>0.98199999999999998</v>
      </c>
      <c r="S8" s="3">
        <v>1.117</v>
      </c>
      <c r="T8" s="3">
        <v>1.8220000000000001</v>
      </c>
      <c r="U8" s="3">
        <v>1.4259999999999999</v>
      </c>
      <c r="V8" s="4">
        <f t="shared" si="0"/>
        <v>1.3636999999999999</v>
      </c>
      <c r="W8" s="4">
        <f t="shared" si="4"/>
        <v>0.35509197400110365</v>
      </c>
      <c r="X8" s="3">
        <v>1.3779999999999999</v>
      </c>
      <c r="Y8" s="3">
        <v>1.1619999999999999</v>
      </c>
      <c r="Z8" s="3">
        <v>1.181</v>
      </c>
      <c r="AA8" s="3">
        <v>1.1479999999999999</v>
      </c>
      <c r="AB8" s="3">
        <v>1.169</v>
      </c>
      <c r="AC8" s="3">
        <v>1.393</v>
      </c>
      <c r="AD8" s="3">
        <v>1.01</v>
      </c>
      <c r="AE8" s="3">
        <v>1.1970000000000001</v>
      </c>
      <c r="AF8" s="3">
        <v>1.21</v>
      </c>
      <c r="AG8" s="3">
        <v>1.1240000000000001</v>
      </c>
      <c r="AH8" s="3">
        <v>1.4259999999999999</v>
      </c>
      <c r="AI8" s="3">
        <v>1.4</v>
      </c>
      <c r="AJ8" s="3">
        <v>1.421</v>
      </c>
      <c r="AK8" s="3">
        <v>1.0109999999999999</v>
      </c>
      <c r="AL8" s="3">
        <v>1.198</v>
      </c>
      <c r="AM8" s="3">
        <v>0.73299999999999998</v>
      </c>
      <c r="AN8" s="3">
        <v>1.143</v>
      </c>
      <c r="AO8" s="3">
        <v>1.1870000000000001</v>
      </c>
      <c r="AP8" s="3">
        <v>1.1679999999999999</v>
      </c>
      <c r="AQ8" s="3">
        <v>1.169</v>
      </c>
      <c r="AR8" s="4">
        <f t="shared" si="1"/>
        <v>1.1914000000000002</v>
      </c>
      <c r="AS8" s="4">
        <f t="shared" si="2"/>
        <v>0.16031886975649298</v>
      </c>
      <c r="AT8" s="5">
        <f t="shared" si="3"/>
        <v>1.1446197750545573</v>
      </c>
    </row>
    <row r="9" spans="1:46" x14ac:dyDescent="0.25">
      <c r="A9" s="2" t="s">
        <v>53</v>
      </c>
      <c r="B9" s="3">
        <v>9.2449999999999992</v>
      </c>
      <c r="C9" s="3">
        <v>9.2349999999999994</v>
      </c>
      <c r="D9" s="3">
        <v>9.6310000000000002</v>
      </c>
      <c r="E9" s="3">
        <v>9.8859999999999992</v>
      </c>
      <c r="F9" s="3">
        <v>11.573</v>
      </c>
      <c r="G9" s="3">
        <v>11.516999999999999</v>
      </c>
      <c r="H9" s="3">
        <v>12.599</v>
      </c>
      <c r="I9" s="3">
        <v>9.5380000000000003</v>
      </c>
      <c r="J9" s="3">
        <v>9.59</v>
      </c>
      <c r="K9" s="3">
        <v>7.1429999999999998</v>
      </c>
      <c r="L9" s="3">
        <v>10.19</v>
      </c>
      <c r="M9" s="3">
        <v>10.894</v>
      </c>
      <c r="N9" s="3">
        <v>10.74</v>
      </c>
      <c r="O9" s="3">
        <v>8.2100000000000009</v>
      </c>
      <c r="P9" s="3">
        <v>10.302</v>
      </c>
      <c r="Q9" s="3">
        <v>10.601000000000001</v>
      </c>
      <c r="R9" s="3">
        <v>9.6219999999999999</v>
      </c>
      <c r="S9" s="3">
        <v>9.36</v>
      </c>
      <c r="T9" s="3">
        <v>11.093999999999999</v>
      </c>
      <c r="U9" s="3">
        <v>13.728999999999999</v>
      </c>
      <c r="V9" s="4">
        <f t="shared" si="0"/>
        <v>10.234950000000001</v>
      </c>
      <c r="W9" s="4">
        <f t="shared" si="4"/>
        <v>1.4312405624142881</v>
      </c>
      <c r="X9" s="3">
        <v>8.1240000000000006</v>
      </c>
      <c r="Y9" s="3">
        <v>7.4349999999999996</v>
      </c>
      <c r="Z9" s="3">
        <v>5.5620000000000003</v>
      </c>
      <c r="AA9" s="3">
        <v>10.987</v>
      </c>
      <c r="AB9" s="3">
        <v>8.8439999999999994</v>
      </c>
      <c r="AC9" s="3">
        <v>8.9610000000000003</v>
      </c>
      <c r="AD9" s="3">
        <v>8.1029999999999998</v>
      </c>
      <c r="AE9" s="3">
        <v>9.7070000000000007</v>
      </c>
      <c r="AF9" s="3">
        <v>8.9420000000000002</v>
      </c>
      <c r="AG9" s="3">
        <v>8.4949999999999992</v>
      </c>
      <c r="AH9" s="3">
        <v>7.5339999999999998</v>
      </c>
      <c r="AI9" s="3">
        <v>7.7119999999999997</v>
      </c>
      <c r="AJ9" s="3">
        <v>9.3330000000000002</v>
      </c>
      <c r="AK9" s="3">
        <v>8.9019999999999992</v>
      </c>
      <c r="AL9" s="3">
        <v>7.9690000000000003</v>
      </c>
      <c r="AM9" s="3">
        <v>7.0780000000000003</v>
      </c>
      <c r="AN9" s="3">
        <v>8.5150000000000006</v>
      </c>
      <c r="AO9" s="3">
        <v>7.2809999999999997</v>
      </c>
      <c r="AP9" s="3">
        <v>8.0440000000000005</v>
      </c>
      <c r="AQ9" s="3">
        <v>8.609</v>
      </c>
      <c r="AR9" s="4">
        <f t="shared" si="1"/>
        <v>8.3068500000000025</v>
      </c>
      <c r="AS9" s="4">
        <f t="shared" si="2"/>
        <v>1.0933165266746689</v>
      </c>
      <c r="AT9" s="5">
        <f t="shared" si="3"/>
        <v>1.2321096444500621</v>
      </c>
    </row>
    <row r="10" spans="1:46" x14ac:dyDescent="0.25">
      <c r="A10" s="2" t="s">
        <v>54</v>
      </c>
      <c r="B10" s="3">
        <v>1.3160000000000001</v>
      </c>
      <c r="C10" s="3">
        <v>1.375</v>
      </c>
      <c r="D10" s="3">
        <v>1.2789999999999999</v>
      </c>
      <c r="E10" s="3">
        <v>1.252</v>
      </c>
      <c r="F10" s="3">
        <v>1.131</v>
      </c>
      <c r="G10" s="3">
        <v>1.2789999999999999</v>
      </c>
      <c r="H10" s="3">
        <v>1.0580000000000001</v>
      </c>
      <c r="I10" s="3">
        <v>1.208</v>
      </c>
      <c r="J10" s="3">
        <v>0.81599999999999995</v>
      </c>
      <c r="K10" s="3">
        <v>1.337</v>
      </c>
      <c r="L10" s="3">
        <v>1.4530000000000001</v>
      </c>
      <c r="M10" s="3">
        <v>0.872</v>
      </c>
      <c r="N10" s="3">
        <v>0.82599999999999996</v>
      </c>
      <c r="O10" s="3">
        <v>1.0069999999999999</v>
      </c>
      <c r="P10" s="3">
        <v>0.99399999999999999</v>
      </c>
      <c r="Q10" s="3">
        <v>0.81799999999999995</v>
      </c>
      <c r="R10" s="3">
        <v>1.1519999999999999</v>
      </c>
      <c r="S10" s="3">
        <v>0.97099999999999997</v>
      </c>
      <c r="T10" s="3">
        <v>0.93500000000000005</v>
      </c>
      <c r="U10" s="3">
        <v>1.0780000000000001</v>
      </c>
      <c r="V10" s="4">
        <f t="shared" si="0"/>
        <v>1.10785</v>
      </c>
      <c r="W10" s="4">
        <f t="shared" si="4"/>
        <v>0.19462535163744693</v>
      </c>
      <c r="X10" s="3">
        <v>0.85</v>
      </c>
      <c r="Y10" s="3">
        <v>1.04</v>
      </c>
      <c r="Z10" s="3">
        <v>0.88800000000000001</v>
      </c>
      <c r="AA10" s="3">
        <v>1.4890000000000001</v>
      </c>
      <c r="AB10" s="3">
        <v>0.76900000000000002</v>
      </c>
      <c r="AC10" s="3">
        <v>0.90500000000000003</v>
      </c>
      <c r="AD10" s="3">
        <v>0.84299999999999997</v>
      </c>
      <c r="AE10" s="3">
        <v>0.82799999999999996</v>
      </c>
      <c r="AF10" s="3">
        <v>0.64200000000000002</v>
      </c>
      <c r="AG10" s="3">
        <v>0.58399999999999996</v>
      </c>
      <c r="AH10" s="3">
        <v>0.93600000000000005</v>
      </c>
      <c r="AI10" s="3">
        <v>0.89200000000000002</v>
      </c>
      <c r="AJ10" s="3">
        <v>0.82199999999999995</v>
      </c>
      <c r="AK10" s="3">
        <v>0.90300000000000002</v>
      </c>
      <c r="AL10" s="3">
        <v>0.97699999999999998</v>
      </c>
      <c r="AM10" s="3">
        <v>1.4059999999999999</v>
      </c>
      <c r="AN10" s="3">
        <v>1.0549999999999999</v>
      </c>
      <c r="AO10" s="3">
        <v>0.92400000000000004</v>
      </c>
      <c r="AP10" s="3">
        <v>1.077</v>
      </c>
      <c r="AQ10" s="3">
        <v>0.87</v>
      </c>
      <c r="AR10" s="4">
        <f t="shared" si="1"/>
        <v>0.93499999999999994</v>
      </c>
      <c r="AS10" s="4">
        <f t="shared" si="2"/>
        <v>0.20772000385133882</v>
      </c>
      <c r="AT10" s="5">
        <f t="shared" si="3"/>
        <v>1.184866310160428</v>
      </c>
    </row>
    <row r="11" spans="1:46" x14ac:dyDescent="0.25">
      <c r="A11" s="2" t="s">
        <v>55</v>
      </c>
      <c r="B11" s="3">
        <v>0.94899999999999995</v>
      </c>
      <c r="C11" s="3">
        <v>1.615</v>
      </c>
      <c r="D11" s="3">
        <v>1.925</v>
      </c>
      <c r="E11" s="3">
        <v>2.2450000000000001</v>
      </c>
      <c r="F11" s="3">
        <v>2.0910000000000002</v>
      </c>
      <c r="G11" s="3">
        <v>1.8660000000000001</v>
      </c>
      <c r="H11" s="3">
        <v>2.476</v>
      </c>
      <c r="I11" s="3">
        <v>1.6180000000000001</v>
      </c>
      <c r="J11" s="3">
        <v>1.4750000000000001</v>
      </c>
      <c r="K11" s="3">
        <v>1.7110000000000001</v>
      </c>
      <c r="L11" s="3">
        <v>1.7829999999999999</v>
      </c>
      <c r="M11" s="3">
        <v>1.0029999999999999</v>
      </c>
      <c r="N11" s="3">
        <v>1.6140000000000001</v>
      </c>
      <c r="O11" s="3">
        <v>1.5840000000000001</v>
      </c>
      <c r="P11" s="3">
        <v>0.96099999999999997</v>
      </c>
      <c r="Q11" s="3">
        <v>1.633</v>
      </c>
      <c r="R11" s="3">
        <v>1.55</v>
      </c>
      <c r="S11" s="3">
        <v>1.002</v>
      </c>
      <c r="T11" s="3">
        <v>2.0169999999999999</v>
      </c>
      <c r="U11" s="3">
        <v>1.518</v>
      </c>
      <c r="V11" s="4">
        <f t="shared" si="0"/>
        <v>1.6317999999999997</v>
      </c>
      <c r="W11" s="4">
        <f t="shared" si="4"/>
        <v>0.41069521545788801</v>
      </c>
      <c r="X11" s="3">
        <v>1.6220000000000001</v>
      </c>
      <c r="Y11" s="3">
        <v>1.536</v>
      </c>
      <c r="Z11" s="3">
        <v>1.798</v>
      </c>
      <c r="AA11" s="3">
        <v>1.244</v>
      </c>
      <c r="AB11" s="3">
        <v>1.5720000000000001</v>
      </c>
      <c r="AC11" s="3">
        <v>1.4870000000000001</v>
      </c>
      <c r="AD11" s="3">
        <v>1.167</v>
      </c>
      <c r="AE11" s="3">
        <v>2.343</v>
      </c>
      <c r="AF11" s="3">
        <v>2.508</v>
      </c>
      <c r="AG11" s="3">
        <v>1.494</v>
      </c>
      <c r="AH11" s="3">
        <v>1.1779999999999999</v>
      </c>
      <c r="AI11" s="3">
        <v>2.1760000000000002</v>
      </c>
      <c r="AJ11" s="3">
        <v>1.776</v>
      </c>
      <c r="AK11" s="3">
        <v>1.869</v>
      </c>
      <c r="AL11" s="3">
        <v>1.845</v>
      </c>
      <c r="AM11" s="3">
        <v>2.0499999999999998</v>
      </c>
      <c r="AN11" s="3">
        <v>1.83</v>
      </c>
      <c r="AO11" s="3">
        <v>3.0609999999999999</v>
      </c>
      <c r="AP11" s="3">
        <v>2.6560000000000001</v>
      </c>
      <c r="AQ11" s="3">
        <v>2.3820000000000001</v>
      </c>
      <c r="AR11" s="4">
        <f t="shared" si="1"/>
        <v>1.8796999999999997</v>
      </c>
      <c r="AS11" s="4">
        <f t="shared" si="2"/>
        <v>0.49922300628076222</v>
      </c>
      <c r="AT11" s="5">
        <f t="shared" si="3"/>
        <v>0.86811725275309892</v>
      </c>
    </row>
    <row r="12" spans="1:46" x14ac:dyDescent="0.25">
      <c r="A12" s="2" t="s">
        <v>56</v>
      </c>
      <c r="B12" s="3">
        <v>7.78</v>
      </c>
      <c r="C12" s="3">
        <v>6.8010000000000002</v>
      </c>
      <c r="D12" s="3">
        <v>6.9379999999999997</v>
      </c>
      <c r="E12" s="3">
        <v>8.1470000000000002</v>
      </c>
      <c r="F12" s="3">
        <v>6.9950000000000001</v>
      </c>
      <c r="G12" s="3">
        <v>7.0129999999999999</v>
      </c>
      <c r="H12" s="3">
        <v>5.641</v>
      </c>
      <c r="I12" s="3">
        <v>6.4349999999999996</v>
      </c>
      <c r="J12" s="3">
        <v>6.0119999999999996</v>
      </c>
      <c r="K12" s="3">
        <v>6.0979999999999999</v>
      </c>
      <c r="L12" s="3">
        <v>5.8490000000000002</v>
      </c>
      <c r="M12" s="3">
        <v>4.9800000000000004</v>
      </c>
      <c r="N12" s="3">
        <v>4.5419999999999998</v>
      </c>
      <c r="O12" s="3">
        <v>5.6959999999999997</v>
      </c>
      <c r="P12" s="3">
        <v>4.2770000000000001</v>
      </c>
      <c r="Q12" s="3">
        <v>4.3339999999999996</v>
      </c>
      <c r="R12" s="3">
        <v>3.9870000000000001</v>
      </c>
      <c r="S12" s="3">
        <v>3.681</v>
      </c>
      <c r="T12" s="3">
        <v>3.4820000000000002</v>
      </c>
      <c r="U12" s="3">
        <v>3.42</v>
      </c>
      <c r="V12" s="4">
        <f t="shared" si="0"/>
        <v>5.6054000000000004</v>
      </c>
      <c r="W12" s="4">
        <f t="shared" si="4"/>
        <v>1.4138889418904161</v>
      </c>
      <c r="X12" s="3">
        <v>3.4489999999999998</v>
      </c>
      <c r="Y12" s="3">
        <v>2.5350000000000001</v>
      </c>
      <c r="Z12" s="3">
        <v>2.552</v>
      </c>
      <c r="AA12" s="3">
        <v>2.5510000000000002</v>
      </c>
      <c r="AB12" s="3">
        <v>2.2120000000000002</v>
      </c>
      <c r="AC12" s="3">
        <v>2.548</v>
      </c>
      <c r="AD12" s="3">
        <v>1.627</v>
      </c>
      <c r="AE12" s="3">
        <v>1.764</v>
      </c>
      <c r="AF12" s="3">
        <v>2.4780000000000002</v>
      </c>
      <c r="AG12" s="3">
        <v>2.0230000000000001</v>
      </c>
      <c r="AH12" s="3">
        <v>2.59</v>
      </c>
      <c r="AI12" s="3">
        <v>2.9740000000000002</v>
      </c>
      <c r="AJ12" s="3">
        <v>2.5819999999999999</v>
      </c>
      <c r="AK12" s="3">
        <v>3.0209999999999999</v>
      </c>
      <c r="AL12" s="3">
        <v>1.7549999999999999</v>
      </c>
      <c r="AM12" s="3">
        <v>2.508</v>
      </c>
      <c r="AN12" s="3">
        <v>1.7290000000000001</v>
      </c>
      <c r="AO12" s="3">
        <v>2.734</v>
      </c>
      <c r="AP12" s="3">
        <v>2.6619999999999999</v>
      </c>
      <c r="AQ12" s="3">
        <v>2.7850000000000001</v>
      </c>
      <c r="AR12" s="4">
        <f t="shared" si="1"/>
        <v>2.4539500000000003</v>
      </c>
      <c r="AS12" s="4">
        <f>IFERROR(_xlfn.STDEV.P(X12:AQ12), 0)</f>
        <v>0.46392353626432814</v>
      </c>
      <c r="AT12" s="5">
        <f t="shared" si="3"/>
        <v>2.2842356201226592</v>
      </c>
    </row>
    <row r="13" spans="1:46" x14ac:dyDescent="0.25">
      <c r="A13" s="2" t="s">
        <v>57</v>
      </c>
      <c r="B13" s="3">
        <v>1.6739999999999999</v>
      </c>
      <c r="C13" s="3">
        <v>1.5860000000000001</v>
      </c>
      <c r="D13" s="3">
        <v>0.83499999999999996</v>
      </c>
      <c r="E13" s="3">
        <v>1.226</v>
      </c>
      <c r="F13" s="3">
        <v>0.73499999999999999</v>
      </c>
      <c r="G13" s="3">
        <v>0.72899999999999998</v>
      </c>
      <c r="H13" s="3">
        <v>0.67900000000000005</v>
      </c>
      <c r="I13" s="3">
        <v>0.66300000000000003</v>
      </c>
      <c r="J13" s="3">
        <v>0.621</v>
      </c>
      <c r="K13" s="3">
        <v>0.63200000000000001</v>
      </c>
      <c r="L13" s="3">
        <v>0.621</v>
      </c>
      <c r="M13" s="3">
        <v>0.69</v>
      </c>
      <c r="N13" s="3">
        <v>0.98699999999999999</v>
      </c>
      <c r="O13" s="3">
        <v>0.74399999999999999</v>
      </c>
      <c r="P13" s="3">
        <v>0.66300000000000003</v>
      </c>
      <c r="Q13" s="3">
        <v>0.61399999999999999</v>
      </c>
      <c r="R13" s="3">
        <v>1.25</v>
      </c>
      <c r="S13" s="3">
        <v>1.1599999999999999</v>
      </c>
      <c r="T13" s="3">
        <v>1.175</v>
      </c>
      <c r="U13" s="3">
        <v>1.083</v>
      </c>
      <c r="V13" s="4">
        <f t="shared" si="0"/>
        <v>0.91835</v>
      </c>
      <c r="W13" s="4">
        <f t="shared" si="4"/>
        <v>0.32214938693097006</v>
      </c>
      <c r="X13" s="3">
        <v>1.171</v>
      </c>
      <c r="Y13" s="3">
        <v>0.85399999999999998</v>
      </c>
      <c r="Z13" s="3">
        <v>0.78400000000000003</v>
      </c>
      <c r="AA13" s="3">
        <v>0.60499999999999998</v>
      </c>
      <c r="AB13" s="3">
        <v>0.85499999999999998</v>
      </c>
      <c r="AC13" s="3">
        <v>0.76300000000000001</v>
      </c>
      <c r="AD13" s="3">
        <v>0.76300000000000001</v>
      </c>
      <c r="AE13" s="3">
        <v>0.76300000000000001</v>
      </c>
      <c r="AF13" s="3">
        <v>0.75700000000000001</v>
      </c>
      <c r="AG13" s="3">
        <v>0.74299999999999999</v>
      </c>
      <c r="AH13" s="3">
        <v>1.1519999999999999</v>
      </c>
      <c r="AI13" s="3">
        <v>0.52200000000000002</v>
      </c>
      <c r="AJ13" s="3">
        <v>0.75900000000000001</v>
      </c>
      <c r="AK13" s="3">
        <v>2.0819999999999999</v>
      </c>
      <c r="AL13" s="3">
        <v>0.89200000000000002</v>
      </c>
      <c r="AM13" s="3">
        <v>0.92800000000000005</v>
      </c>
      <c r="AN13" s="3">
        <v>1.0089999999999999</v>
      </c>
      <c r="AO13" s="3">
        <v>0.71699999999999997</v>
      </c>
      <c r="AP13" s="3">
        <v>0.78200000000000003</v>
      </c>
      <c r="AQ13" s="3">
        <v>0.77900000000000003</v>
      </c>
      <c r="AR13" s="4">
        <f t="shared" si="1"/>
        <v>0.88400000000000001</v>
      </c>
      <c r="AS13" s="4">
        <f t="shared" ref="AS13:AS31" si="5">IFERROR(_xlfn.STDEV.P(X13:AQ13), 0)</f>
        <v>0.31404808549010443</v>
      </c>
      <c r="AT13" s="5">
        <f t="shared" si="3"/>
        <v>1.0388574660633485</v>
      </c>
    </row>
    <row r="14" spans="1:46" x14ac:dyDescent="0.25">
      <c r="A14" s="2" t="s">
        <v>58</v>
      </c>
      <c r="B14" s="3">
        <v>13.228</v>
      </c>
      <c r="C14" s="3">
        <v>11.933</v>
      </c>
      <c r="D14" s="3">
        <v>12.087</v>
      </c>
      <c r="E14" s="3">
        <v>12.573</v>
      </c>
      <c r="F14" s="3">
        <v>13.271000000000001</v>
      </c>
      <c r="G14" s="3">
        <v>12.552</v>
      </c>
      <c r="H14" s="3">
        <v>15.733000000000001</v>
      </c>
      <c r="I14" s="3">
        <v>19.798999999999999</v>
      </c>
      <c r="J14" s="3">
        <v>20.484000000000002</v>
      </c>
      <c r="K14" s="3">
        <v>19.108000000000001</v>
      </c>
      <c r="L14" s="3">
        <v>22.143999999999998</v>
      </c>
      <c r="M14" s="3">
        <v>18.815000000000001</v>
      </c>
      <c r="N14" s="3">
        <v>13.381</v>
      </c>
      <c r="O14" s="3">
        <v>13.57</v>
      </c>
      <c r="P14" s="3">
        <v>12.010999999999999</v>
      </c>
      <c r="Q14" s="3">
        <v>13.631</v>
      </c>
      <c r="R14" s="3">
        <v>12.949</v>
      </c>
      <c r="S14" s="3">
        <v>14.069000000000001</v>
      </c>
      <c r="T14" s="3">
        <v>11.574999999999999</v>
      </c>
      <c r="U14" s="3">
        <v>16.170000000000002</v>
      </c>
      <c r="V14" s="4">
        <f t="shared" si="0"/>
        <v>14.954150000000002</v>
      </c>
      <c r="W14" s="4">
        <f t="shared" si="4"/>
        <v>3.206386381504883</v>
      </c>
      <c r="X14" s="3">
        <v>13.933999999999999</v>
      </c>
      <c r="Y14" s="3">
        <v>6.0110000000000001</v>
      </c>
      <c r="Z14" s="3">
        <v>10.334</v>
      </c>
      <c r="AA14" s="3">
        <v>10.47</v>
      </c>
      <c r="AB14" s="3">
        <v>9.8000000000000007</v>
      </c>
      <c r="AC14" s="3">
        <v>9.6470000000000002</v>
      </c>
      <c r="AD14" s="3">
        <v>10.68</v>
      </c>
      <c r="AE14" s="3">
        <v>11.555</v>
      </c>
      <c r="AF14" s="3">
        <v>6.7270000000000003</v>
      </c>
      <c r="AG14" s="3">
        <v>12.547000000000001</v>
      </c>
      <c r="AH14" s="3">
        <v>10.071</v>
      </c>
      <c r="AI14" s="3">
        <v>11.496</v>
      </c>
      <c r="AJ14" s="3">
        <v>6.6340000000000003</v>
      </c>
      <c r="AK14" s="3">
        <v>9.6609999999999996</v>
      </c>
      <c r="AL14" s="3">
        <v>6.04</v>
      </c>
      <c r="AM14" s="3">
        <v>6.633</v>
      </c>
      <c r="AN14" s="3">
        <v>5.8769999999999998</v>
      </c>
      <c r="AO14" s="3">
        <v>9.9019999999999992</v>
      </c>
      <c r="AP14" s="3">
        <v>8.5169999999999995</v>
      </c>
      <c r="AQ14" s="3">
        <v>11.294</v>
      </c>
      <c r="AR14" s="4">
        <f t="shared" si="1"/>
        <v>9.3915000000000006</v>
      </c>
      <c r="AS14" s="4">
        <f t="shared" si="5"/>
        <v>2.303789714796034</v>
      </c>
      <c r="AT14" s="5">
        <f t="shared" si="3"/>
        <v>1.5923068732364374</v>
      </c>
    </row>
    <row r="15" spans="1:46" x14ac:dyDescent="0.25">
      <c r="A15" s="2" t="s">
        <v>59</v>
      </c>
      <c r="B15" s="3">
        <v>4.6959999999999997</v>
      </c>
      <c r="C15" s="3">
        <v>4.4740000000000002</v>
      </c>
      <c r="D15" s="3">
        <v>7.2690000000000001</v>
      </c>
      <c r="E15" s="3">
        <v>4.7050000000000001</v>
      </c>
      <c r="F15" s="3">
        <v>4.4669999999999996</v>
      </c>
      <c r="G15" s="3">
        <v>5.32</v>
      </c>
      <c r="H15" s="3">
        <v>4.3120000000000003</v>
      </c>
      <c r="I15" s="3">
        <v>3.762</v>
      </c>
      <c r="J15" s="3">
        <v>4.3659999999999997</v>
      </c>
      <c r="K15" s="3">
        <v>6.6239999999999997</v>
      </c>
      <c r="L15" s="3">
        <v>6.6459999999999999</v>
      </c>
      <c r="M15" s="3">
        <v>7.4569999999999999</v>
      </c>
      <c r="N15" s="3">
        <v>8.7240000000000002</v>
      </c>
      <c r="O15" s="3">
        <v>8.8719999999999999</v>
      </c>
      <c r="P15" s="3">
        <v>8.56</v>
      </c>
      <c r="Q15" s="3">
        <v>6.6950000000000003</v>
      </c>
      <c r="R15" s="3">
        <v>7.53</v>
      </c>
      <c r="S15" s="3">
        <v>5.7539999999999996</v>
      </c>
      <c r="T15" s="3">
        <v>4.0209999999999999</v>
      </c>
      <c r="U15" s="3">
        <v>4.1230000000000002</v>
      </c>
      <c r="V15" s="4">
        <f t="shared" si="0"/>
        <v>5.9188500000000008</v>
      </c>
      <c r="W15" s="4">
        <f t="shared" si="4"/>
        <v>1.673333746596894</v>
      </c>
      <c r="X15" s="3">
        <v>3.2269999999999999</v>
      </c>
      <c r="Y15" s="3">
        <v>3.4009999999999998</v>
      </c>
      <c r="Z15" s="3">
        <v>3.4649999999999999</v>
      </c>
      <c r="AA15" s="3">
        <v>3.0270000000000001</v>
      </c>
      <c r="AB15" s="3">
        <v>3.6960000000000002</v>
      </c>
      <c r="AC15" s="3">
        <v>4.0679999999999996</v>
      </c>
      <c r="AD15" s="3">
        <v>3.992</v>
      </c>
      <c r="AE15" s="3">
        <v>3.9119999999999999</v>
      </c>
      <c r="AF15" s="3">
        <v>4.0309999999999997</v>
      </c>
      <c r="AG15" s="3">
        <v>4.3099999999999996</v>
      </c>
      <c r="AH15" s="3">
        <v>4.1269999999999998</v>
      </c>
      <c r="AI15" s="3">
        <v>3.931</v>
      </c>
      <c r="AJ15" s="3">
        <v>3.867</v>
      </c>
      <c r="AK15" s="3">
        <v>3.9129999999999998</v>
      </c>
      <c r="AL15" s="3">
        <v>4.0469999999999997</v>
      </c>
      <c r="AM15" s="3">
        <v>3.734</v>
      </c>
      <c r="AN15" s="3">
        <v>3.7360000000000002</v>
      </c>
      <c r="AO15" s="3">
        <v>3.645</v>
      </c>
      <c r="AP15" s="3">
        <v>3.7730000000000001</v>
      </c>
      <c r="AQ15" s="3">
        <v>3.8010000000000002</v>
      </c>
      <c r="AR15" s="4">
        <f t="shared" si="1"/>
        <v>3.7851499999999993</v>
      </c>
      <c r="AS15" s="4">
        <f t="shared" si="5"/>
        <v>0.30610019193068128</v>
      </c>
      <c r="AT15" s="5">
        <f t="shared" si="3"/>
        <v>1.5637028915630826</v>
      </c>
    </row>
    <row r="16" spans="1:46" x14ac:dyDescent="0.25">
      <c r="A16" s="2" t="s">
        <v>60</v>
      </c>
      <c r="B16" s="3">
        <v>12.609</v>
      </c>
      <c r="C16" s="3">
        <v>14.552</v>
      </c>
      <c r="D16" s="3">
        <v>8.6210000000000004</v>
      </c>
      <c r="E16" s="3">
        <v>16.173999999999999</v>
      </c>
      <c r="F16" s="3">
        <v>16.251000000000001</v>
      </c>
      <c r="G16" s="3">
        <v>19.108000000000001</v>
      </c>
      <c r="H16" s="3">
        <v>25.030999999999999</v>
      </c>
      <c r="I16" s="3">
        <v>14.414</v>
      </c>
      <c r="J16" s="3">
        <v>14.455</v>
      </c>
      <c r="K16" s="3">
        <v>14.122</v>
      </c>
      <c r="L16" s="3">
        <v>15.352</v>
      </c>
      <c r="M16" s="3">
        <v>15.308999999999999</v>
      </c>
      <c r="N16" s="3">
        <v>13.993</v>
      </c>
      <c r="O16" s="3">
        <v>15.624000000000001</v>
      </c>
      <c r="P16" s="3">
        <v>12.717000000000001</v>
      </c>
      <c r="Q16" s="3">
        <v>12.81</v>
      </c>
      <c r="R16" s="3">
        <v>16.023</v>
      </c>
      <c r="S16" s="3">
        <v>19.82</v>
      </c>
      <c r="T16" s="3">
        <v>17.690999999999999</v>
      </c>
      <c r="U16" s="3">
        <v>16.593</v>
      </c>
      <c r="V16" s="4">
        <f t="shared" si="0"/>
        <v>15.56345</v>
      </c>
      <c r="W16" s="4">
        <f t="shared" si="4"/>
        <v>3.223352082460115</v>
      </c>
      <c r="X16" s="3">
        <v>11.031000000000001</v>
      </c>
      <c r="Y16" s="3">
        <v>11.785</v>
      </c>
      <c r="Z16" s="3">
        <v>11.143000000000001</v>
      </c>
      <c r="AA16" s="3">
        <v>11.324</v>
      </c>
      <c r="AB16" s="3">
        <v>12.743</v>
      </c>
      <c r="AC16" s="3">
        <v>11.622999999999999</v>
      </c>
      <c r="AD16" s="3">
        <v>11.045999999999999</v>
      </c>
      <c r="AE16" s="3">
        <v>12.541</v>
      </c>
      <c r="AF16" s="3">
        <v>12.372999999999999</v>
      </c>
      <c r="AG16" s="3">
        <v>11.045999999999999</v>
      </c>
      <c r="AH16" s="3">
        <v>11.34</v>
      </c>
      <c r="AI16" s="3">
        <v>11.097</v>
      </c>
      <c r="AJ16" s="3">
        <v>11.579000000000001</v>
      </c>
      <c r="AK16" s="3">
        <v>11.032</v>
      </c>
      <c r="AL16" s="3">
        <v>10.864000000000001</v>
      </c>
      <c r="AM16" s="3">
        <v>11.385999999999999</v>
      </c>
      <c r="AN16" s="3">
        <v>12.115</v>
      </c>
      <c r="AO16" s="3">
        <v>7.8869999999999996</v>
      </c>
      <c r="AP16" s="3">
        <v>11.276</v>
      </c>
      <c r="AQ16" s="3">
        <v>9.9369999999999994</v>
      </c>
      <c r="AR16" s="4">
        <f t="shared" si="1"/>
        <v>11.258400000000004</v>
      </c>
      <c r="AS16" s="4">
        <f t="shared" si="5"/>
        <v>0.99665251717938297</v>
      </c>
      <c r="AT16" s="5">
        <f t="shared" si="3"/>
        <v>1.3823855965323664</v>
      </c>
    </row>
    <row r="17" spans="1:46" x14ac:dyDescent="0.25">
      <c r="A17" s="2" t="s">
        <v>61</v>
      </c>
      <c r="B17" s="3">
        <v>18.3</v>
      </c>
      <c r="C17" s="3">
        <v>30.187000000000001</v>
      </c>
      <c r="D17" s="3">
        <v>25.488</v>
      </c>
      <c r="E17" s="3">
        <v>22.303999999999998</v>
      </c>
      <c r="F17" s="3">
        <v>19.869</v>
      </c>
      <c r="G17" s="3">
        <v>15.11</v>
      </c>
      <c r="H17" s="3">
        <v>15.835000000000001</v>
      </c>
      <c r="I17" s="3">
        <v>15.002000000000001</v>
      </c>
      <c r="J17" s="3">
        <v>15.624000000000001</v>
      </c>
      <c r="K17" s="3">
        <v>14.823</v>
      </c>
      <c r="L17" s="3">
        <v>17.361000000000001</v>
      </c>
      <c r="M17" s="3">
        <v>14.503</v>
      </c>
      <c r="N17" s="3">
        <v>13.8</v>
      </c>
      <c r="O17" s="3">
        <v>14.897</v>
      </c>
      <c r="P17" s="3">
        <v>15.324</v>
      </c>
      <c r="Q17" s="3">
        <v>13.728999999999999</v>
      </c>
      <c r="R17" s="3">
        <v>11.246</v>
      </c>
      <c r="S17" s="3">
        <v>13.505000000000001</v>
      </c>
      <c r="T17" s="3">
        <v>14.952</v>
      </c>
      <c r="U17" s="3">
        <v>18.951000000000001</v>
      </c>
      <c r="V17" s="4">
        <f t="shared" si="0"/>
        <v>17.040500000000002</v>
      </c>
      <c r="W17" s="4">
        <f t="shared" si="4"/>
        <v>4.4010142069754714</v>
      </c>
      <c r="X17" s="3">
        <v>13.689</v>
      </c>
      <c r="Y17" s="3">
        <v>13.999000000000001</v>
      </c>
      <c r="Z17" s="3">
        <v>14.336</v>
      </c>
      <c r="AA17" s="3">
        <v>13.657999999999999</v>
      </c>
      <c r="AB17" s="3">
        <v>14.493</v>
      </c>
      <c r="AC17" s="3">
        <v>15.845000000000001</v>
      </c>
      <c r="AD17" s="3">
        <v>15.846</v>
      </c>
      <c r="AE17" s="3">
        <v>15.169</v>
      </c>
      <c r="AF17" s="3">
        <v>15.032</v>
      </c>
      <c r="AG17" s="3">
        <v>15.157999999999999</v>
      </c>
      <c r="AH17" s="3">
        <v>15.071</v>
      </c>
      <c r="AI17" s="3">
        <v>12.904999999999999</v>
      </c>
      <c r="AJ17" s="3">
        <v>15.208</v>
      </c>
      <c r="AK17" s="3">
        <v>15.336</v>
      </c>
      <c r="AL17" s="3">
        <v>20.076000000000001</v>
      </c>
      <c r="AM17" s="3">
        <v>20.969000000000001</v>
      </c>
      <c r="AN17" s="3">
        <v>17.736999999999998</v>
      </c>
      <c r="AO17" s="3">
        <v>20.667999999999999</v>
      </c>
      <c r="AP17" s="3">
        <v>28.280999999999999</v>
      </c>
      <c r="AQ17" s="3">
        <v>28.085999999999999</v>
      </c>
      <c r="AR17" s="4">
        <f t="shared" si="1"/>
        <v>17.078099999999999</v>
      </c>
      <c r="AS17" s="4">
        <f t="shared" si="5"/>
        <v>4.3216006398092794</v>
      </c>
      <c r="AT17" s="5">
        <f t="shared" si="3"/>
        <v>0.99779834993354077</v>
      </c>
    </row>
    <row r="18" spans="1:46" x14ac:dyDescent="0.25">
      <c r="A18" s="2" t="s">
        <v>62</v>
      </c>
      <c r="B18" s="3">
        <v>2.5760000000000001</v>
      </c>
      <c r="C18" s="3">
        <v>2.8610000000000002</v>
      </c>
      <c r="D18" s="3">
        <v>3.4329999999999998</v>
      </c>
      <c r="E18" s="3">
        <v>2.6240000000000001</v>
      </c>
      <c r="F18" s="3">
        <v>2.403</v>
      </c>
      <c r="G18" s="3">
        <v>3.2549999999999999</v>
      </c>
      <c r="H18" s="3">
        <v>1.9470000000000001</v>
      </c>
      <c r="I18" s="3">
        <v>2.0139999999999998</v>
      </c>
      <c r="J18" s="3">
        <v>3.4119999999999999</v>
      </c>
      <c r="K18" s="3">
        <v>3.3260000000000001</v>
      </c>
      <c r="L18" s="3">
        <v>2.8849999999999998</v>
      </c>
      <c r="M18" s="3">
        <v>3.0489999999999999</v>
      </c>
      <c r="N18" s="3">
        <v>2.8879999999999999</v>
      </c>
      <c r="O18" s="3">
        <v>2.298</v>
      </c>
      <c r="P18" s="3">
        <v>1.923</v>
      </c>
      <c r="Q18" s="3">
        <v>2.6829999999999998</v>
      </c>
      <c r="R18" s="3">
        <v>3.0049999999999999</v>
      </c>
      <c r="S18" s="3">
        <v>1.8149999999999999</v>
      </c>
      <c r="T18" s="3">
        <v>2.581</v>
      </c>
      <c r="U18" s="3">
        <v>2.4409999999999998</v>
      </c>
      <c r="V18" s="4">
        <f t="shared" si="0"/>
        <v>2.6709500000000004</v>
      </c>
      <c r="W18" s="4">
        <f t="shared" si="4"/>
        <v>0.49064380919359418</v>
      </c>
      <c r="X18" s="3">
        <v>3.6640000000000001</v>
      </c>
      <c r="Y18" s="3">
        <v>2.8570000000000002</v>
      </c>
      <c r="Z18" s="3">
        <v>3.2610000000000001</v>
      </c>
      <c r="AA18" s="3">
        <v>3.7069999999999999</v>
      </c>
      <c r="AB18" s="3">
        <v>3.024</v>
      </c>
      <c r="AC18" s="3">
        <v>3.0369999999999999</v>
      </c>
      <c r="AD18" s="3">
        <v>3.0910000000000002</v>
      </c>
      <c r="AE18" s="3">
        <v>3.222</v>
      </c>
      <c r="AF18" s="3">
        <v>2.8889999999999998</v>
      </c>
      <c r="AG18" s="3">
        <v>2.968</v>
      </c>
      <c r="AH18" s="3">
        <v>3.1749999999999998</v>
      </c>
      <c r="AI18" s="3">
        <v>2.9540000000000002</v>
      </c>
      <c r="AJ18" s="3">
        <v>2.9540000000000002</v>
      </c>
      <c r="AK18" s="3">
        <v>2.4809999999999999</v>
      </c>
      <c r="AL18" s="3">
        <v>2.8940000000000001</v>
      </c>
      <c r="AM18" s="3">
        <v>3.0110000000000001</v>
      </c>
      <c r="AN18" s="3">
        <v>3.0920000000000001</v>
      </c>
      <c r="AO18" s="3">
        <v>2.6059999999999999</v>
      </c>
      <c r="AP18" s="3">
        <v>1.9910000000000001</v>
      </c>
      <c r="AQ18" s="3">
        <v>2.8660000000000001</v>
      </c>
      <c r="AR18" s="4">
        <f t="shared" si="1"/>
        <v>2.9872000000000005</v>
      </c>
      <c r="AS18" s="4">
        <f t="shared" si="5"/>
        <v>0.36153873927976027</v>
      </c>
      <c r="AT18" s="5">
        <f t="shared" si="3"/>
        <v>0.89413162828066417</v>
      </c>
    </row>
    <row r="19" spans="1:46" x14ac:dyDescent="0.25">
      <c r="A19" s="2" t="s">
        <v>63</v>
      </c>
      <c r="B19" s="3">
        <v>6.218</v>
      </c>
      <c r="C19" s="3">
        <v>5.7510000000000003</v>
      </c>
      <c r="D19" s="3">
        <v>6.9039999999999999</v>
      </c>
      <c r="E19" s="3">
        <v>7.0460000000000003</v>
      </c>
      <c r="F19" s="3">
        <v>4.4470000000000001</v>
      </c>
      <c r="G19" s="3">
        <v>4.4880000000000004</v>
      </c>
      <c r="H19" s="3">
        <v>5.6239999999999997</v>
      </c>
      <c r="I19" s="3">
        <v>7.3440000000000003</v>
      </c>
      <c r="J19" s="3">
        <v>7.3570000000000002</v>
      </c>
      <c r="K19" s="3">
        <v>7.0439999999999996</v>
      </c>
      <c r="L19" s="3">
        <v>5.3319999999999999</v>
      </c>
      <c r="M19" s="3">
        <v>7.66</v>
      </c>
      <c r="N19" s="3">
        <v>6.5170000000000003</v>
      </c>
      <c r="O19" s="3">
        <v>4.9960000000000004</v>
      </c>
      <c r="P19" s="3">
        <v>5.4379999999999997</v>
      </c>
      <c r="Q19" s="3">
        <v>7.4870000000000001</v>
      </c>
      <c r="R19" s="3">
        <v>5.9649999999999999</v>
      </c>
      <c r="S19" s="3">
        <v>5.3540000000000001</v>
      </c>
      <c r="T19" s="3">
        <v>6.81</v>
      </c>
      <c r="U19" s="3">
        <v>11.446999999999999</v>
      </c>
      <c r="V19" s="4">
        <f t="shared" si="0"/>
        <v>6.4614499999999992</v>
      </c>
      <c r="W19" s="4">
        <f t="shared" si="4"/>
        <v>1.5014622364548513</v>
      </c>
      <c r="X19" s="3">
        <v>8.2010000000000005</v>
      </c>
      <c r="Y19" s="3">
        <v>10.055999999999999</v>
      </c>
      <c r="Z19" s="3">
        <v>12.234</v>
      </c>
      <c r="AA19" s="3">
        <v>14.066000000000001</v>
      </c>
      <c r="AB19" s="3">
        <v>8.8569999999999993</v>
      </c>
      <c r="AC19" s="3">
        <v>7.5289999999999999</v>
      </c>
      <c r="AD19" s="3">
        <v>10.019</v>
      </c>
      <c r="AE19" s="3">
        <v>5.7539999999999996</v>
      </c>
      <c r="AF19" s="3">
        <v>6.8339999999999996</v>
      </c>
      <c r="AG19" s="3">
        <v>7.1059999999999999</v>
      </c>
      <c r="AH19" s="3">
        <v>6.3</v>
      </c>
      <c r="AI19" s="3">
        <v>7.9249999999999998</v>
      </c>
      <c r="AJ19" s="3">
        <v>6.1280000000000001</v>
      </c>
      <c r="AK19" s="3">
        <v>8.0830000000000002</v>
      </c>
      <c r="AL19" s="3">
        <v>7.59</v>
      </c>
      <c r="AM19" s="3">
        <v>9.1769999999999996</v>
      </c>
      <c r="AN19" s="3">
        <v>13.257999999999999</v>
      </c>
      <c r="AO19" s="3">
        <v>14.516</v>
      </c>
      <c r="AP19" s="3">
        <v>14.567</v>
      </c>
      <c r="AQ19" s="3">
        <v>15.175000000000001</v>
      </c>
      <c r="AR19" s="4">
        <f t="shared" si="1"/>
        <v>9.6687500000000011</v>
      </c>
      <c r="AS19" s="4">
        <f t="shared" si="5"/>
        <v>3.0675995318000626</v>
      </c>
      <c r="AT19" s="5">
        <f t="shared" si="3"/>
        <v>0.66828183581124745</v>
      </c>
    </row>
    <row r="20" spans="1:46" x14ac:dyDescent="0.25">
      <c r="A20" s="2" t="s">
        <v>64</v>
      </c>
      <c r="B20" s="3">
        <v>18.57</v>
      </c>
      <c r="C20" s="3">
        <v>15.092000000000001</v>
      </c>
      <c r="D20" s="3">
        <v>13.411</v>
      </c>
      <c r="E20" s="3">
        <v>22.73</v>
      </c>
      <c r="F20" s="3">
        <v>15.169</v>
      </c>
      <c r="G20" s="3">
        <v>10.98</v>
      </c>
      <c r="H20" s="3">
        <v>18.934000000000001</v>
      </c>
      <c r="I20" s="3">
        <v>18.225999999999999</v>
      </c>
      <c r="J20" s="3">
        <v>18.114999999999998</v>
      </c>
      <c r="K20" s="3">
        <v>16.359000000000002</v>
      </c>
      <c r="L20" s="3">
        <v>12.608000000000001</v>
      </c>
      <c r="M20" s="3">
        <v>14.093999999999999</v>
      </c>
      <c r="N20" s="3">
        <v>12.904</v>
      </c>
      <c r="O20" s="3">
        <v>10.119999999999999</v>
      </c>
      <c r="P20" s="3">
        <v>10.416</v>
      </c>
      <c r="Q20" s="3">
        <v>16.628</v>
      </c>
      <c r="R20" s="3">
        <v>14.259</v>
      </c>
      <c r="S20" s="3">
        <v>11.718</v>
      </c>
      <c r="T20" s="3">
        <v>9.7880000000000003</v>
      </c>
      <c r="U20" s="3">
        <v>11.254</v>
      </c>
      <c r="V20" s="4">
        <f t="shared" si="0"/>
        <v>14.568750000000003</v>
      </c>
      <c r="W20" s="4">
        <f t="shared" si="4"/>
        <v>3.4341357992222661</v>
      </c>
      <c r="X20" s="3">
        <v>19.420999999999999</v>
      </c>
      <c r="Y20" s="3">
        <v>12.122</v>
      </c>
      <c r="Z20" s="3">
        <v>11.920999999999999</v>
      </c>
      <c r="AA20" s="3">
        <v>9.8230000000000004</v>
      </c>
      <c r="AB20" s="3">
        <v>10.007999999999999</v>
      </c>
      <c r="AC20" s="3">
        <v>10.08</v>
      </c>
      <c r="AD20" s="3">
        <v>9.1370000000000005</v>
      </c>
      <c r="AE20" s="3">
        <v>10.497999999999999</v>
      </c>
      <c r="AF20" s="3">
        <v>11.148</v>
      </c>
      <c r="AG20" s="3">
        <v>15.807</v>
      </c>
      <c r="AH20" s="3">
        <v>18.309000000000001</v>
      </c>
      <c r="AI20" s="3">
        <v>8.3209999999999997</v>
      </c>
      <c r="AJ20" s="3">
        <v>11.449</v>
      </c>
      <c r="AK20" s="3">
        <v>9.6359999999999992</v>
      </c>
      <c r="AL20" s="3">
        <v>9.7279999999999998</v>
      </c>
      <c r="AM20" s="3">
        <v>10.052</v>
      </c>
      <c r="AN20" s="3">
        <v>11.43</v>
      </c>
      <c r="AO20" s="3">
        <v>13.336</v>
      </c>
      <c r="AP20" s="3">
        <v>19.202999999999999</v>
      </c>
      <c r="AQ20" s="3">
        <v>24.739000000000001</v>
      </c>
      <c r="AR20" s="4">
        <f t="shared" si="1"/>
        <v>12.808400000000001</v>
      </c>
      <c r="AS20" s="4">
        <f t="shared" si="5"/>
        <v>4.2693694311923895</v>
      </c>
      <c r="AT20" s="5">
        <f t="shared" si="3"/>
        <v>1.1374371506199059</v>
      </c>
    </row>
    <row r="21" spans="1:46" x14ac:dyDescent="0.25">
      <c r="A21" s="2" t="s">
        <v>65</v>
      </c>
      <c r="B21" s="3">
        <v>3.0369999999999999</v>
      </c>
      <c r="C21" s="3">
        <v>3.9140000000000001</v>
      </c>
      <c r="D21" s="3">
        <v>3.548</v>
      </c>
      <c r="E21" s="3">
        <v>3.919</v>
      </c>
      <c r="F21" s="3">
        <v>2.5840000000000001</v>
      </c>
      <c r="G21" s="3">
        <v>3.3740000000000001</v>
      </c>
      <c r="H21" s="3">
        <v>2.4319999999999999</v>
      </c>
      <c r="I21" s="3">
        <v>3.7559999999999998</v>
      </c>
      <c r="J21" s="3">
        <v>3.5670000000000002</v>
      </c>
      <c r="K21" s="3">
        <v>3.343</v>
      </c>
      <c r="L21" s="3">
        <v>3.4009999999999998</v>
      </c>
      <c r="M21" s="3">
        <v>3.8159999999999998</v>
      </c>
      <c r="N21" s="3">
        <v>3.55</v>
      </c>
      <c r="O21" s="3">
        <v>3.3050000000000002</v>
      </c>
      <c r="P21" s="3">
        <v>3.6360000000000001</v>
      </c>
      <c r="Q21" s="3">
        <v>4.5330000000000004</v>
      </c>
      <c r="R21" s="3">
        <v>4.08</v>
      </c>
      <c r="S21" s="3">
        <v>3.391</v>
      </c>
      <c r="T21" s="3">
        <v>4.5439999999999996</v>
      </c>
      <c r="U21" s="3">
        <v>3.7919999999999998</v>
      </c>
      <c r="V21" s="4">
        <f t="shared" si="0"/>
        <v>3.5761000000000003</v>
      </c>
      <c r="W21" s="4">
        <f t="shared" si="4"/>
        <v>0.51464957981134929</v>
      </c>
      <c r="X21" s="3">
        <v>8.3930000000000007</v>
      </c>
      <c r="Y21" s="3">
        <v>8.5640000000000001</v>
      </c>
      <c r="Z21" s="3">
        <v>4.819</v>
      </c>
      <c r="AA21" s="3">
        <v>3.3420000000000001</v>
      </c>
      <c r="AB21" s="3">
        <v>3.448</v>
      </c>
      <c r="AC21" s="3">
        <v>3.0790000000000002</v>
      </c>
      <c r="AD21" s="3">
        <v>3.4409999999999998</v>
      </c>
      <c r="AE21" s="3">
        <v>2.8929999999999998</v>
      </c>
      <c r="AF21" s="3">
        <v>2.2559999999999998</v>
      </c>
      <c r="AG21" s="3">
        <v>3.2109999999999999</v>
      </c>
      <c r="AH21" s="3">
        <v>2.3919999999999999</v>
      </c>
      <c r="AI21" s="3">
        <v>2.6019999999999999</v>
      </c>
      <c r="AJ21" s="3">
        <v>2.4289999999999998</v>
      </c>
      <c r="AK21" s="3">
        <v>2.9049999999999998</v>
      </c>
      <c r="AL21" s="3">
        <v>3.59</v>
      </c>
      <c r="AM21" s="3">
        <v>3.4609999999999999</v>
      </c>
      <c r="AN21" s="3">
        <v>1.9850000000000001</v>
      </c>
      <c r="AO21" s="3">
        <v>3.5779999999999998</v>
      </c>
      <c r="AP21" s="3">
        <v>3.5019999999999998</v>
      </c>
      <c r="AQ21" s="3">
        <v>3.7869999999999999</v>
      </c>
      <c r="AR21" s="4">
        <f t="shared" si="1"/>
        <v>3.6838500000000005</v>
      </c>
      <c r="AS21" s="4">
        <f t="shared" si="5"/>
        <v>1.7144331796544292</v>
      </c>
      <c r="AT21" s="5">
        <f t="shared" si="3"/>
        <v>0.97075070917654083</v>
      </c>
    </row>
    <row r="22" spans="1:46" x14ac:dyDescent="0.25">
      <c r="A22" s="2" t="s">
        <v>66</v>
      </c>
      <c r="B22" s="3">
        <v>0.94399999999999995</v>
      </c>
      <c r="C22" s="3">
        <v>0.872</v>
      </c>
      <c r="D22" s="3">
        <v>1.8640000000000001</v>
      </c>
      <c r="E22" s="3">
        <v>1.478</v>
      </c>
      <c r="F22" s="3">
        <v>2.2789999999999999</v>
      </c>
      <c r="G22" s="3">
        <v>1.135</v>
      </c>
      <c r="H22" s="3">
        <v>2.109</v>
      </c>
      <c r="I22" s="3">
        <v>0.98299999999999998</v>
      </c>
      <c r="J22" s="3">
        <v>1.633</v>
      </c>
      <c r="K22" s="3">
        <v>2.4590000000000001</v>
      </c>
      <c r="L22" s="3">
        <v>2.0259999999999998</v>
      </c>
      <c r="M22" s="3">
        <v>1.7390000000000001</v>
      </c>
      <c r="N22" s="3">
        <v>1.502</v>
      </c>
      <c r="O22" s="3">
        <v>1.796</v>
      </c>
      <c r="P22" s="3">
        <v>1.367</v>
      </c>
      <c r="Q22" s="3">
        <v>1.2609999999999999</v>
      </c>
      <c r="R22" s="3">
        <v>1.7290000000000001</v>
      </c>
      <c r="S22" s="3">
        <v>1.0269999999999999</v>
      </c>
      <c r="T22" s="3">
        <v>1.5229999999999999</v>
      </c>
      <c r="U22" s="3">
        <v>1.6020000000000001</v>
      </c>
      <c r="V22" s="4">
        <f t="shared" si="0"/>
        <v>1.5664</v>
      </c>
      <c r="W22" s="4">
        <f t="shared" si="4"/>
        <v>0.43859188318982811</v>
      </c>
      <c r="X22" s="3">
        <v>0.876</v>
      </c>
      <c r="Y22" s="3">
        <v>0.90500000000000003</v>
      </c>
      <c r="Z22" s="3">
        <v>0.78500000000000003</v>
      </c>
      <c r="AA22" s="3">
        <v>0.79800000000000004</v>
      </c>
      <c r="AB22" s="3">
        <v>0.67400000000000004</v>
      </c>
      <c r="AC22" s="3">
        <v>0.93</v>
      </c>
      <c r="AD22" s="3">
        <v>0.48599999999999999</v>
      </c>
      <c r="AE22" s="3">
        <v>0.83099999999999996</v>
      </c>
      <c r="AF22" s="3">
        <v>0.49199999999999999</v>
      </c>
      <c r="AG22" s="3">
        <v>0.69799999999999995</v>
      </c>
      <c r="AH22" s="3">
        <v>1.24</v>
      </c>
      <c r="AI22" s="3">
        <v>1.2190000000000001</v>
      </c>
      <c r="AJ22" s="3">
        <v>0.98799999999999999</v>
      </c>
      <c r="AK22" s="3">
        <v>1.353</v>
      </c>
      <c r="AL22" s="3">
        <v>1.4379999999999999</v>
      </c>
      <c r="AM22" s="3">
        <v>0.92600000000000005</v>
      </c>
      <c r="AN22" s="3">
        <v>1.456</v>
      </c>
      <c r="AO22" s="3">
        <v>1.2649999999999999</v>
      </c>
      <c r="AP22" s="3">
        <v>1.6639999999999999</v>
      </c>
      <c r="AQ22" s="3">
        <v>2.137</v>
      </c>
      <c r="AR22" s="4">
        <f t="shared" si="1"/>
        <v>1.0580500000000002</v>
      </c>
      <c r="AS22" s="4">
        <f t="shared" si="5"/>
        <v>0.40228689700262427</v>
      </c>
      <c r="AT22" s="5">
        <f t="shared" si="3"/>
        <v>1.4804593355701525</v>
      </c>
    </row>
    <row r="23" spans="1:46" x14ac:dyDescent="0.25">
      <c r="A23" s="2" t="s">
        <v>67</v>
      </c>
      <c r="B23" s="3">
        <v>9.9380000000000006</v>
      </c>
      <c r="C23" s="3">
        <v>9.1170000000000009</v>
      </c>
      <c r="D23" s="3">
        <v>9.7420000000000009</v>
      </c>
      <c r="E23" s="3">
        <v>7.806</v>
      </c>
      <c r="F23" s="3">
        <v>6.79</v>
      </c>
      <c r="G23" s="3">
        <v>5.657</v>
      </c>
      <c r="H23" s="3">
        <v>6.0529999999999999</v>
      </c>
      <c r="I23" s="3">
        <v>6.798</v>
      </c>
      <c r="J23" s="3">
        <v>8.452</v>
      </c>
      <c r="K23" s="3">
        <v>10.393000000000001</v>
      </c>
      <c r="L23" s="3">
        <v>12.499000000000001</v>
      </c>
      <c r="M23" s="3">
        <v>15.574999999999999</v>
      </c>
      <c r="N23" s="3">
        <v>13.833</v>
      </c>
      <c r="O23" s="3">
        <v>10.446</v>
      </c>
      <c r="P23" s="3">
        <v>9.2149999999999999</v>
      </c>
      <c r="Q23" s="3">
        <v>10.266</v>
      </c>
      <c r="R23" s="3">
        <v>6.6310000000000002</v>
      </c>
      <c r="S23" s="3">
        <v>6.4180000000000001</v>
      </c>
      <c r="T23" s="3">
        <v>8.2170000000000005</v>
      </c>
      <c r="U23" s="3">
        <v>9.3290000000000006</v>
      </c>
      <c r="V23" s="4">
        <f t="shared" si="0"/>
        <v>9.1587500000000013</v>
      </c>
      <c r="W23" s="4">
        <f t="shared" si="4"/>
        <v>2.5472675924409658</v>
      </c>
      <c r="X23" s="3">
        <v>13.385999999999999</v>
      </c>
      <c r="Y23" s="3">
        <v>10.928000000000001</v>
      </c>
      <c r="Z23" s="3">
        <v>9.1280000000000001</v>
      </c>
      <c r="AA23" s="3">
        <v>10.75</v>
      </c>
      <c r="AB23" s="3">
        <v>7.2869999999999999</v>
      </c>
      <c r="AC23" s="3">
        <v>6.2409999999999997</v>
      </c>
      <c r="AD23" s="3">
        <v>7.2080000000000002</v>
      </c>
      <c r="AE23" s="3">
        <v>8.9550000000000001</v>
      </c>
      <c r="AF23" s="3">
        <v>8.0289999999999999</v>
      </c>
      <c r="AG23" s="3">
        <v>8.782</v>
      </c>
      <c r="AH23" s="3">
        <v>11.624000000000001</v>
      </c>
      <c r="AI23" s="3">
        <v>15.725</v>
      </c>
      <c r="AJ23" s="3">
        <v>12.724</v>
      </c>
      <c r="AK23" s="3">
        <v>13.214</v>
      </c>
      <c r="AL23" s="3">
        <v>10.382999999999999</v>
      </c>
      <c r="AM23" s="3">
        <v>10.44</v>
      </c>
      <c r="AN23" s="3">
        <v>9.7349999999999994</v>
      </c>
      <c r="AO23" s="3">
        <v>7.2590000000000003</v>
      </c>
      <c r="AP23" s="3">
        <v>7.2850000000000001</v>
      </c>
      <c r="AQ23" s="3">
        <v>7.6340000000000003</v>
      </c>
      <c r="AR23" s="4">
        <f t="shared" si="1"/>
        <v>9.8358499999999989</v>
      </c>
      <c r="AS23" s="4">
        <f t="shared" si="5"/>
        <v>2.4790321957368819</v>
      </c>
      <c r="AT23" s="5">
        <f t="shared" si="3"/>
        <v>0.93115999125647531</v>
      </c>
    </row>
    <row r="24" spans="1:46" x14ac:dyDescent="0.25">
      <c r="A24" s="2" t="s">
        <v>68</v>
      </c>
      <c r="B24" s="3">
        <v>4.5789999999999997</v>
      </c>
      <c r="C24" s="3">
        <v>4.8819999999999997</v>
      </c>
      <c r="D24" s="3">
        <v>3.3620000000000001</v>
      </c>
      <c r="E24" s="3">
        <v>3.2589999999999999</v>
      </c>
      <c r="F24" s="3">
        <v>3.5590000000000002</v>
      </c>
      <c r="G24" s="3">
        <v>3.371</v>
      </c>
      <c r="H24" s="3">
        <v>3.3109999999999999</v>
      </c>
      <c r="I24" s="3">
        <v>7.0469999999999997</v>
      </c>
      <c r="J24" s="3">
        <v>5.7949999999999999</v>
      </c>
      <c r="K24" s="3">
        <v>3.7469999999999999</v>
      </c>
      <c r="L24" s="3">
        <v>3.504</v>
      </c>
      <c r="M24" s="3">
        <v>3.2509999999999999</v>
      </c>
      <c r="N24" s="3">
        <v>3.161</v>
      </c>
      <c r="O24" s="3">
        <v>3.137</v>
      </c>
      <c r="P24" s="3">
        <v>2.9790000000000001</v>
      </c>
      <c r="Q24" s="3">
        <v>3.0529999999999999</v>
      </c>
      <c r="R24" s="3">
        <v>6.6390000000000002</v>
      </c>
      <c r="S24" s="3">
        <v>7.3959999999999999</v>
      </c>
      <c r="T24" s="3">
        <v>10.336</v>
      </c>
      <c r="U24" s="3">
        <v>3.8570000000000002</v>
      </c>
      <c r="V24" s="4">
        <f t="shared" si="0"/>
        <v>4.5112499999999995</v>
      </c>
      <c r="W24" s="4">
        <f t="shared" si="4"/>
        <v>1.9148666239453869</v>
      </c>
      <c r="X24" s="3">
        <v>2.2709999999999999</v>
      </c>
      <c r="Y24" s="3">
        <v>2.2320000000000002</v>
      </c>
      <c r="Z24" s="3">
        <v>3.29</v>
      </c>
      <c r="AA24" s="3">
        <v>3.2730000000000001</v>
      </c>
      <c r="AB24" s="3">
        <v>2.2650000000000001</v>
      </c>
      <c r="AC24" s="3">
        <v>3.1379999999999999</v>
      </c>
      <c r="AD24" s="3">
        <v>3.8090000000000002</v>
      </c>
      <c r="AE24" s="3">
        <v>2.7989999999999999</v>
      </c>
      <c r="AF24" s="3">
        <v>3.677</v>
      </c>
      <c r="AG24" s="3">
        <v>2.5289999999999999</v>
      </c>
      <c r="AH24" s="3">
        <v>5.36</v>
      </c>
      <c r="AI24" s="3">
        <v>6.0970000000000004</v>
      </c>
      <c r="AJ24" s="3">
        <v>6.7869999999999999</v>
      </c>
      <c r="AK24" s="3">
        <v>6.1890000000000001</v>
      </c>
      <c r="AL24" s="3">
        <v>5.4470000000000001</v>
      </c>
      <c r="AM24" s="3">
        <v>7.7670000000000003</v>
      </c>
      <c r="AN24" s="3">
        <v>4.7210000000000001</v>
      </c>
      <c r="AO24" s="3">
        <v>4.8380000000000001</v>
      </c>
      <c r="AP24" s="3">
        <v>3.7989999999999999</v>
      </c>
      <c r="AQ24" s="3">
        <v>4.5170000000000003</v>
      </c>
      <c r="AR24" s="4">
        <f t="shared" si="1"/>
        <v>4.2402500000000005</v>
      </c>
      <c r="AS24" s="4">
        <f t="shared" si="5"/>
        <v>1.5829369183577711</v>
      </c>
      <c r="AT24" s="5">
        <f t="shared" si="3"/>
        <v>1.0639113259831376</v>
      </c>
    </row>
    <row r="25" spans="1:46" x14ac:dyDescent="0.25">
      <c r="A25" s="2" t="s">
        <v>69</v>
      </c>
      <c r="B25" s="3">
        <v>0.90700000000000003</v>
      </c>
      <c r="C25" s="3">
        <v>0.57699999999999996</v>
      </c>
      <c r="D25" s="3">
        <v>0.54300000000000004</v>
      </c>
      <c r="E25" s="3">
        <v>0.57199999999999995</v>
      </c>
      <c r="F25" s="3">
        <v>0.54700000000000004</v>
      </c>
      <c r="G25" s="3">
        <v>0.54600000000000004</v>
      </c>
      <c r="H25" s="3">
        <v>0.84</v>
      </c>
      <c r="I25" s="3">
        <v>0.60399999999999998</v>
      </c>
      <c r="J25" s="3">
        <v>0.79400000000000004</v>
      </c>
      <c r="K25" s="3">
        <v>0.81200000000000006</v>
      </c>
      <c r="L25" s="3">
        <v>0.52600000000000002</v>
      </c>
      <c r="M25" s="3">
        <v>0.73399999999999999</v>
      </c>
      <c r="N25" s="3">
        <v>0.90800000000000003</v>
      </c>
      <c r="O25" s="3">
        <v>0.71299999999999997</v>
      </c>
      <c r="P25" s="3">
        <v>0.58099999999999996</v>
      </c>
      <c r="Q25" s="3">
        <v>0.64600000000000002</v>
      </c>
      <c r="R25" s="3">
        <v>0.78500000000000003</v>
      </c>
      <c r="S25" s="3">
        <v>0.60299999999999998</v>
      </c>
      <c r="T25" s="3">
        <v>0.65200000000000002</v>
      </c>
      <c r="U25" s="3">
        <v>0.63200000000000001</v>
      </c>
      <c r="V25" s="4">
        <f t="shared" si="0"/>
        <v>0.67609999999999981</v>
      </c>
      <c r="W25" s="4">
        <f t="shared" si="4"/>
        <v>0.1225585166359329</v>
      </c>
      <c r="X25" s="3">
        <v>1.0409999999999999</v>
      </c>
      <c r="Y25" s="3">
        <v>0.81699999999999995</v>
      </c>
      <c r="Z25" s="3">
        <v>0.93600000000000005</v>
      </c>
      <c r="AA25" s="3">
        <v>0.60299999999999998</v>
      </c>
      <c r="AB25" s="3">
        <v>0.58199999999999996</v>
      </c>
      <c r="AC25" s="3">
        <v>0.54700000000000004</v>
      </c>
      <c r="AD25" s="3">
        <v>0.79400000000000004</v>
      </c>
      <c r="AE25" s="3">
        <v>0.55100000000000005</v>
      </c>
      <c r="AF25" s="3">
        <v>0.70399999999999996</v>
      </c>
      <c r="AG25" s="3">
        <v>0.68100000000000005</v>
      </c>
      <c r="AH25" s="3">
        <v>0.66200000000000003</v>
      </c>
      <c r="AI25" s="3">
        <v>0.52600000000000002</v>
      </c>
      <c r="AJ25" s="3">
        <v>0.52500000000000002</v>
      </c>
      <c r="AK25" s="3">
        <v>0.52200000000000002</v>
      </c>
      <c r="AL25" s="3">
        <v>0.57099999999999995</v>
      </c>
      <c r="AM25" s="3">
        <v>0.52300000000000002</v>
      </c>
      <c r="AN25" s="3">
        <v>0.53300000000000003</v>
      </c>
      <c r="AO25" s="3">
        <v>0.36899999999999999</v>
      </c>
      <c r="AP25" s="3">
        <v>0.54700000000000004</v>
      </c>
      <c r="AQ25" s="3">
        <v>0.52600000000000002</v>
      </c>
      <c r="AR25" s="4">
        <f t="shared" si="1"/>
        <v>0.628</v>
      </c>
      <c r="AS25" s="4">
        <f t="shared" si="5"/>
        <v>0.15704712668495407</v>
      </c>
      <c r="AT25" s="5">
        <f t="shared" si="3"/>
        <v>1.0765923566878979</v>
      </c>
    </row>
    <row r="26" spans="1:46" x14ac:dyDescent="0.25">
      <c r="A26" s="2" t="s">
        <v>70</v>
      </c>
      <c r="B26" s="3">
        <v>3.2410000000000001</v>
      </c>
      <c r="C26" s="3">
        <v>6.4080000000000004</v>
      </c>
      <c r="D26" s="3">
        <v>4.8109999999999999</v>
      </c>
      <c r="E26" s="3">
        <v>1.6830000000000001</v>
      </c>
      <c r="F26" s="3">
        <v>1.9630000000000001</v>
      </c>
      <c r="G26" s="3">
        <v>2.605</v>
      </c>
      <c r="H26" s="3">
        <v>3.5880000000000001</v>
      </c>
      <c r="I26" s="3">
        <v>3.4350000000000001</v>
      </c>
      <c r="J26" s="3">
        <v>2.6760000000000002</v>
      </c>
      <c r="K26" s="3">
        <v>4.37</v>
      </c>
      <c r="L26" s="3">
        <v>2.72</v>
      </c>
      <c r="M26" s="3">
        <v>3.6539999999999999</v>
      </c>
      <c r="N26" s="3">
        <v>2.71</v>
      </c>
      <c r="O26" s="3">
        <v>2.8370000000000002</v>
      </c>
      <c r="P26" s="3">
        <v>4.4359999999999999</v>
      </c>
      <c r="Q26" s="3">
        <v>3.7410000000000001</v>
      </c>
      <c r="R26" s="3">
        <v>3.169</v>
      </c>
      <c r="S26" s="3">
        <v>4.9660000000000002</v>
      </c>
      <c r="T26" s="3">
        <v>3.02</v>
      </c>
      <c r="U26" s="3">
        <v>4.4829999999999997</v>
      </c>
      <c r="V26" s="4">
        <f t="shared" si="0"/>
        <v>3.5258000000000003</v>
      </c>
      <c r="W26" s="4">
        <f t="shared" si="4"/>
        <v>1.1006145828581413</v>
      </c>
      <c r="X26" s="3">
        <v>2.694</v>
      </c>
      <c r="Y26" s="3">
        <v>3.1419999999999999</v>
      </c>
      <c r="Z26" s="3">
        <v>2.5470000000000002</v>
      </c>
      <c r="AA26" s="3">
        <v>2.9660000000000002</v>
      </c>
      <c r="AB26" s="3">
        <v>2.262</v>
      </c>
      <c r="AC26" s="3">
        <v>2.8109999999999999</v>
      </c>
      <c r="AD26" s="3">
        <v>2.8969999999999998</v>
      </c>
      <c r="AE26" s="3">
        <v>3.121</v>
      </c>
      <c r="AF26" s="3">
        <v>2.8159999999999998</v>
      </c>
      <c r="AG26" s="3">
        <v>4.6980000000000004</v>
      </c>
      <c r="AH26" s="3">
        <v>3.7029999999999998</v>
      </c>
      <c r="AI26" s="3">
        <v>4.6210000000000004</v>
      </c>
      <c r="AJ26" s="3">
        <v>5.3140000000000001</v>
      </c>
      <c r="AK26" s="3">
        <v>4.8849999999999998</v>
      </c>
      <c r="AL26" s="3">
        <v>3.1080000000000001</v>
      </c>
      <c r="AM26" s="3">
        <v>3.1509999999999998</v>
      </c>
      <c r="AN26" s="3">
        <v>4.3869999999999996</v>
      </c>
      <c r="AO26" s="3">
        <v>3.3359999999999999</v>
      </c>
      <c r="AP26" s="3">
        <v>4.032</v>
      </c>
      <c r="AQ26" s="3">
        <v>2.71</v>
      </c>
      <c r="AR26" s="4">
        <f t="shared" si="1"/>
        <v>3.460049999999999</v>
      </c>
      <c r="AS26" s="4">
        <f t="shared" si="5"/>
        <v>0.86196998062578023</v>
      </c>
      <c r="AT26" s="5">
        <f t="shared" si="3"/>
        <v>1.0190026155691396</v>
      </c>
    </row>
    <row r="27" spans="1:46" x14ac:dyDescent="0.25">
      <c r="A27" s="2" t="s">
        <v>71</v>
      </c>
      <c r="B27" s="3">
        <v>7.3259999999999996</v>
      </c>
      <c r="C27" s="3">
        <v>9.2940000000000005</v>
      </c>
      <c r="D27" s="3">
        <v>8.5050000000000008</v>
      </c>
      <c r="E27" s="3">
        <v>3.7109999999999999</v>
      </c>
      <c r="F27" s="3">
        <v>4.1760000000000002</v>
      </c>
      <c r="G27" s="3">
        <v>3.9569999999999999</v>
      </c>
      <c r="H27" s="3">
        <v>4.351</v>
      </c>
      <c r="I27" s="3">
        <v>4.5910000000000002</v>
      </c>
      <c r="J27" s="3">
        <v>4.5759999999999996</v>
      </c>
      <c r="K27" s="3">
        <v>4.3</v>
      </c>
      <c r="L27" s="3">
        <v>3.8620000000000001</v>
      </c>
      <c r="M27" s="3">
        <v>4.1059999999999999</v>
      </c>
      <c r="N27" s="3">
        <v>4.3239999999999998</v>
      </c>
      <c r="O27" s="3">
        <v>2.8839999999999999</v>
      </c>
      <c r="P27" s="3">
        <v>2.9609999999999999</v>
      </c>
      <c r="Q27" s="3">
        <v>4.5049999999999999</v>
      </c>
      <c r="R27" s="3">
        <v>4.7939999999999996</v>
      </c>
      <c r="S27" s="3">
        <v>4.4370000000000003</v>
      </c>
      <c r="T27" s="3">
        <v>4.4279999999999999</v>
      </c>
      <c r="U27" s="3">
        <v>3.3559999999999999</v>
      </c>
      <c r="V27" s="4">
        <f t="shared" si="0"/>
        <v>4.7221999999999991</v>
      </c>
      <c r="W27" s="4">
        <f t="shared" si="4"/>
        <v>1.6446499201957863</v>
      </c>
      <c r="X27" s="3">
        <v>4.7960000000000003</v>
      </c>
      <c r="Y27" s="3">
        <v>5.6619999999999999</v>
      </c>
      <c r="Z27" s="3">
        <v>5.6929999999999996</v>
      </c>
      <c r="AA27" s="3">
        <v>5.86</v>
      </c>
      <c r="AB27" s="3">
        <v>4.2370000000000001</v>
      </c>
      <c r="AC27" s="3">
        <v>4.2729999999999997</v>
      </c>
      <c r="AD27" s="3">
        <v>6.3390000000000004</v>
      </c>
      <c r="AE27" s="3">
        <v>5.14</v>
      </c>
      <c r="AF27" s="3">
        <v>4.9020000000000001</v>
      </c>
      <c r="AG27" s="3">
        <v>4.5860000000000003</v>
      </c>
      <c r="AH27" s="3">
        <v>2.8660000000000001</v>
      </c>
      <c r="AI27" s="3">
        <v>4.4909999999999997</v>
      </c>
      <c r="AJ27" s="3">
        <v>5.3540000000000001</v>
      </c>
      <c r="AK27" s="3">
        <v>7.4640000000000004</v>
      </c>
      <c r="AL27" s="3">
        <v>9.1999999999999993</v>
      </c>
      <c r="AM27" s="3">
        <v>7.0540000000000003</v>
      </c>
      <c r="AN27" s="3">
        <v>7.7389999999999999</v>
      </c>
      <c r="AO27" s="3">
        <v>7.3680000000000003</v>
      </c>
      <c r="AP27" s="3">
        <v>9.0459999999999994</v>
      </c>
      <c r="AQ27" s="3">
        <v>8.48</v>
      </c>
      <c r="AR27" s="4">
        <f t="shared" si="1"/>
        <v>6.0274999999999999</v>
      </c>
      <c r="AS27" s="4">
        <f t="shared" si="5"/>
        <v>1.705101595213611</v>
      </c>
      <c r="AT27" s="5">
        <f t="shared" si="3"/>
        <v>0.78344255495644943</v>
      </c>
    </row>
    <row r="28" spans="1:46" x14ac:dyDescent="0.25">
      <c r="A28" s="2" t="s">
        <v>72</v>
      </c>
      <c r="B28" s="3">
        <v>3.625</v>
      </c>
      <c r="C28" s="3">
        <v>4.9109999999999996</v>
      </c>
      <c r="D28" s="3">
        <v>3.9849999999999999</v>
      </c>
      <c r="E28" s="3">
        <v>9.6539999999999999</v>
      </c>
      <c r="F28" s="3">
        <v>7.8</v>
      </c>
      <c r="G28" s="3">
        <v>10.4</v>
      </c>
      <c r="H28" s="3">
        <v>11.698</v>
      </c>
      <c r="I28" s="3">
        <v>11.412000000000001</v>
      </c>
      <c r="J28" s="3">
        <v>10.569000000000001</v>
      </c>
      <c r="K28" s="3">
        <v>5.5810000000000004</v>
      </c>
      <c r="L28" s="3">
        <v>5.9480000000000004</v>
      </c>
      <c r="M28" s="3">
        <v>10.228</v>
      </c>
      <c r="N28" s="3">
        <v>6.7770000000000001</v>
      </c>
      <c r="O28" s="3">
        <v>4.077</v>
      </c>
      <c r="P28" s="3">
        <v>4.3769999999999998</v>
      </c>
      <c r="Q28" s="3">
        <v>4.7869999999999999</v>
      </c>
      <c r="R28" s="3">
        <v>4.6920000000000002</v>
      </c>
      <c r="S28" s="3">
        <v>4.742</v>
      </c>
      <c r="T28" s="3">
        <v>5.109</v>
      </c>
      <c r="U28" s="3">
        <v>4.3140000000000001</v>
      </c>
      <c r="V28" s="4">
        <f t="shared" si="0"/>
        <v>6.7342999999999993</v>
      </c>
      <c r="W28" s="4">
        <f t="shared" si="4"/>
        <v>2.7575222229385612</v>
      </c>
      <c r="X28" s="3">
        <v>7.8949999999999996</v>
      </c>
      <c r="Y28" s="3">
        <v>10.621</v>
      </c>
      <c r="Z28" s="3">
        <v>7.5380000000000003</v>
      </c>
      <c r="AA28" s="3">
        <v>8.2070000000000007</v>
      </c>
      <c r="AB28" s="3">
        <v>4.593</v>
      </c>
      <c r="AC28" s="3">
        <v>4.51</v>
      </c>
      <c r="AD28" s="3">
        <v>4.8499999999999996</v>
      </c>
      <c r="AE28" s="3">
        <v>4.7450000000000001</v>
      </c>
      <c r="AF28" s="3">
        <v>7.048</v>
      </c>
      <c r="AG28" s="3">
        <v>5.476</v>
      </c>
      <c r="AH28" s="3">
        <v>6.9729999999999999</v>
      </c>
      <c r="AI28" s="3">
        <v>5.3460000000000001</v>
      </c>
      <c r="AJ28" s="3">
        <v>5.6849999999999996</v>
      </c>
      <c r="AK28" s="3">
        <v>4.8250000000000002</v>
      </c>
      <c r="AL28" s="3">
        <v>4.641</v>
      </c>
      <c r="AM28" s="3">
        <v>4.524</v>
      </c>
      <c r="AN28" s="3">
        <v>4.133</v>
      </c>
      <c r="AO28" s="3">
        <v>5.2759999999999998</v>
      </c>
      <c r="AP28" s="3">
        <v>3.85</v>
      </c>
      <c r="AQ28" s="3">
        <v>5.0999999999999996</v>
      </c>
      <c r="AR28" s="4">
        <f t="shared" si="1"/>
        <v>5.7918000000000003</v>
      </c>
      <c r="AS28" s="4">
        <f t="shared" si="5"/>
        <v>1.6749072392225162</v>
      </c>
      <c r="AT28" s="5">
        <f t="shared" si="3"/>
        <v>1.1627300666459475</v>
      </c>
    </row>
    <row r="29" spans="1:46" x14ac:dyDescent="0.25">
      <c r="A29" s="2" t="s">
        <v>73</v>
      </c>
      <c r="B29" s="3">
        <v>5.5279999999999996</v>
      </c>
      <c r="C29" s="3">
        <v>7.6970000000000001</v>
      </c>
      <c r="D29" s="3">
        <v>8.7110000000000003</v>
      </c>
      <c r="E29" s="3">
        <v>10.378</v>
      </c>
      <c r="F29" s="3">
        <v>10.477</v>
      </c>
      <c r="G29" s="3">
        <v>6.7450000000000001</v>
      </c>
      <c r="H29" s="3">
        <v>4.8860000000000001</v>
      </c>
      <c r="I29" s="3">
        <v>6.367</v>
      </c>
      <c r="J29" s="3">
        <v>4.7300000000000004</v>
      </c>
      <c r="K29" s="3">
        <v>5.8579999999999997</v>
      </c>
      <c r="L29" s="3">
        <v>5.9039999999999999</v>
      </c>
      <c r="M29" s="3">
        <v>5.7629999999999999</v>
      </c>
      <c r="N29" s="3">
        <v>5.6520000000000001</v>
      </c>
      <c r="O29" s="3">
        <v>5.899</v>
      </c>
      <c r="P29" s="3">
        <v>5.3220000000000001</v>
      </c>
      <c r="Q29" s="3">
        <v>3.4660000000000002</v>
      </c>
      <c r="R29" s="3">
        <v>4.968</v>
      </c>
      <c r="S29" s="3">
        <v>6.23</v>
      </c>
      <c r="T29" s="3">
        <v>5.6580000000000004</v>
      </c>
      <c r="U29" s="3">
        <v>4.5650000000000004</v>
      </c>
      <c r="V29" s="4">
        <f t="shared" si="0"/>
        <v>6.2401999999999997</v>
      </c>
      <c r="W29" s="4">
        <f t="shared" si="4"/>
        <v>1.7669751441375712</v>
      </c>
      <c r="X29" s="3">
        <v>8.3879999999999999</v>
      </c>
      <c r="Y29" s="3">
        <v>5.7690000000000001</v>
      </c>
      <c r="Z29" s="3">
        <v>5.5970000000000004</v>
      </c>
      <c r="AA29" s="3">
        <v>5.7350000000000003</v>
      </c>
      <c r="AB29" s="3">
        <v>5.1740000000000004</v>
      </c>
      <c r="AC29" s="3">
        <v>5.7329999999999997</v>
      </c>
      <c r="AD29" s="3">
        <v>5.6340000000000003</v>
      </c>
      <c r="AE29" s="3">
        <v>4.6219999999999999</v>
      </c>
      <c r="AF29" s="3">
        <v>7.1079999999999997</v>
      </c>
      <c r="AG29" s="3">
        <v>6.2729999999999997</v>
      </c>
      <c r="AH29" s="3">
        <v>6.32</v>
      </c>
      <c r="AI29" s="3">
        <v>5.5490000000000004</v>
      </c>
      <c r="AJ29" s="3">
        <v>5.835</v>
      </c>
      <c r="AK29" s="3">
        <v>3.609</v>
      </c>
      <c r="AL29" s="3">
        <v>4.7850000000000001</v>
      </c>
      <c r="AM29" s="3">
        <v>4.8620000000000001</v>
      </c>
      <c r="AN29" s="3">
        <v>7.2919999999999998</v>
      </c>
      <c r="AO29" s="3">
        <v>6.95</v>
      </c>
      <c r="AP29" s="3">
        <v>4.9640000000000004</v>
      </c>
      <c r="AQ29" s="3">
        <v>5.7140000000000004</v>
      </c>
      <c r="AR29" s="4">
        <f t="shared" si="1"/>
        <v>5.7956500000000002</v>
      </c>
      <c r="AS29" s="4">
        <f t="shared" si="5"/>
        <v>1.0437909405144339</v>
      </c>
      <c r="AT29" s="5">
        <f t="shared" si="3"/>
        <v>1.0767040797839758</v>
      </c>
    </row>
    <row r="30" spans="1:46" x14ac:dyDescent="0.25">
      <c r="A30" s="2" t="s">
        <v>74</v>
      </c>
      <c r="B30" s="3">
        <v>0.63200000000000001</v>
      </c>
      <c r="C30" s="3">
        <v>0.51500000000000001</v>
      </c>
      <c r="D30" s="3">
        <v>0.504</v>
      </c>
      <c r="E30" s="3">
        <v>0.50700000000000001</v>
      </c>
      <c r="F30" s="3">
        <v>0.624</v>
      </c>
      <c r="G30" s="3">
        <v>0.88700000000000001</v>
      </c>
      <c r="H30" s="3">
        <v>0.317</v>
      </c>
      <c r="I30" s="3">
        <v>1.2</v>
      </c>
      <c r="J30" s="3">
        <v>0.84299999999999997</v>
      </c>
      <c r="K30" s="3">
        <v>1.413</v>
      </c>
      <c r="L30" s="3">
        <v>0.746</v>
      </c>
      <c r="M30" s="3">
        <v>0.50900000000000001</v>
      </c>
      <c r="N30" s="3">
        <v>0.94099999999999995</v>
      </c>
      <c r="O30" s="3">
        <v>1.4450000000000001</v>
      </c>
      <c r="P30" s="3">
        <v>0.54700000000000004</v>
      </c>
      <c r="Q30" s="3">
        <v>0.54</v>
      </c>
      <c r="R30" s="3">
        <v>1.58</v>
      </c>
      <c r="S30" s="3">
        <v>0.86099999999999999</v>
      </c>
      <c r="T30" s="3">
        <v>0.97699999999999998</v>
      </c>
      <c r="U30" s="3">
        <v>0.74099999999999999</v>
      </c>
      <c r="V30" s="4">
        <f t="shared" si="0"/>
        <v>0.81645000000000023</v>
      </c>
      <c r="W30" s="4">
        <f t="shared" si="4"/>
        <v>0.34561517255467766</v>
      </c>
      <c r="X30" s="3">
        <v>0.63100000000000001</v>
      </c>
      <c r="Y30" s="3">
        <v>0.33900000000000002</v>
      </c>
      <c r="Z30" s="3">
        <v>0.51800000000000002</v>
      </c>
      <c r="AA30" s="3">
        <v>0.505</v>
      </c>
      <c r="AB30" s="3">
        <v>0.57399999999999995</v>
      </c>
      <c r="AC30" s="3">
        <v>0.58199999999999996</v>
      </c>
      <c r="AD30" s="3">
        <v>0.32500000000000001</v>
      </c>
      <c r="AE30" s="3">
        <v>0.53400000000000003</v>
      </c>
      <c r="AF30" s="3">
        <v>0.51300000000000001</v>
      </c>
      <c r="AG30" s="3">
        <v>0.50700000000000001</v>
      </c>
      <c r="AH30" s="3">
        <v>0.32200000000000001</v>
      </c>
      <c r="AI30" s="3">
        <v>0.50700000000000001</v>
      </c>
      <c r="AJ30" s="3">
        <v>0.52</v>
      </c>
      <c r="AK30" s="3">
        <v>0.51400000000000001</v>
      </c>
      <c r="AL30" s="3">
        <v>0.50800000000000001</v>
      </c>
      <c r="AM30" s="3">
        <v>0.55200000000000005</v>
      </c>
      <c r="AN30" s="3">
        <v>0.5</v>
      </c>
      <c r="AO30" s="3">
        <v>0.67100000000000004</v>
      </c>
      <c r="AP30" s="3">
        <v>0.63800000000000001</v>
      </c>
      <c r="AQ30" s="3">
        <v>0.307</v>
      </c>
      <c r="AR30" s="4">
        <f t="shared" si="1"/>
        <v>0.50334999999999996</v>
      </c>
      <c r="AS30" s="4">
        <f t="shared" si="5"/>
        <v>0.10198934993419688</v>
      </c>
      <c r="AT30" s="5">
        <f t="shared" si="3"/>
        <v>1.6220323830336749</v>
      </c>
    </row>
    <row r="31" spans="1:46" x14ac:dyDescent="0.25">
      <c r="A31" s="2" t="s">
        <v>75</v>
      </c>
      <c r="B31" s="3">
        <v>0.98699999999999999</v>
      </c>
      <c r="C31" s="3">
        <v>1.7350000000000001</v>
      </c>
      <c r="D31" s="3">
        <v>1.5329999999999999</v>
      </c>
      <c r="E31" s="3">
        <v>2.4089999999999998</v>
      </c>
      <c r="F31" s="3">
        <v>1.542</v>
      </c>
      <c r="G31" s="3">
        <v>1.61</v>
      </c>
      <c r="H31" s="3">
        <v>1.0409999999999999</v>
      </c>
      <c r="I31" s="3">
        <v>0.85699999999999998</v>
      </c>
      <c r="J31" s="3">
        <v>1.462</v>
      </c>
      <c r="K31" s="3">
        <v>1.4319999999999999</v>
      </c>
      <c r="L31" s="3">
        <v>0.89800000000000002</v>
      </c>
      <c r="M31" s="3">
        <v>1.349</v>
      </c>
      <c r="N31" s="3">
        <v>0.93500000000000005</v>
      </c>
      <c r="O31" s="3">
        <v>1.1200000000000001</v>
      </c>
      <c r="P31" s="3">
        <v>1.242</v>
      </c>
      <c r="Q31" s="3">
        <v>1.0229999999999999</v>
      </c>
      <c r="R31" s="3">
        <v>0.91300000000000003</v>
      </c>
      <c r="S31" s="3">
        <v>0.84099999999999997</v>
      </c>
      <c r="T31" s="3">
        <v>0.89100000000000001</v>
      </c>
      <c r="U31" s="3">
        <v>0.53500000000000003</v>
      </c>
      <c r="V31" s="4">
        <f t="shared" si="0"/>
        <v>1.2177500000000001</v>
      </c>
      <c r="W31" s="4">
        <f t="shared" si="4"/>
        <v>0.41354587109533514</v>
      </c>
      <c r="X31" s="3">
        <v>1.3160000000000001</v>
      </c>
      <c r="Y31" s="3">
        <v>0.92900000000000005</v>
      </c>
      <c r="Z31" s="3">
        <v>0.93799999999999994</v>
      </c>
      <c r="AA31" s="3">
        <v>0.89300000000000002</v>
      </c>
      <c r="AB31" s="3">
        <v>0.94699999999999995</v>
      </c>
      <c r="AC31" s="3">
        <v>0.996</v>
      </c>
      <c r="AD31" s="3">
        <v>0.877</v>
      </c>
      <c r="AE31" s="3">
        <v>0.53</v>
      </c>
      <c r="AF31" s="3">
        <v>0.98099999999999998</v>
      </c>
      <c r="AG31" s="3">
        <v>1.2170000000000001</v>
      </c>
      <c r="AH31" s="3">
        <v>1.304</v>
      </c>
      <c r="AI31" s="3">
        <v>1.383</v>
      </c>
      <c r="AJ31" s="3">
        <v>1.9510000000000001</v>
      </c>
      <c r="AK31" s="3">
        <v>1.1739999999999999</v>
      </c>
      <c r="AL31" s="3">
        <v>1.7010000000000001</v>
      </c>
      <c r="AM31" s="3">
        <v>0.70899999999999996</v>
      </c>
      <c r="AN31" s="3">
        <v>1.4079999999999999</v>
      </c>
      <c r="AO31" s="3">
        <v>2.3929999999999998</v>
      </c>
      <c r="AP31" s="3">
        <v>0.99</v>
      </c>
      <c r="AQ31" s="3">
        <v>0.82099999999999995</v>
      </c>
      <c r="AR31" s="4">
        <f t="shared" si="1"/>
        <v>1.1729000000000001</v>
      </c>
      <c r="AS31" s="4">
        <f t="shared" si="5"/>
        <v>0.42997231306213185</v>
      </c>
      <c r="AT31" s="5">
        <f t="shared" si="3"/>
        <v>1.0382385540114247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Coleta de Desempenho (MATA60)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Batista</cp:lastModifiedBy>
  <dcterms:created xsi:type="dcterms:W3CDTF">2025-11-08T14:27:07Z</dcterms:created>
  <dcterms:modified xsi:type="dcterms:W3CDTF">2025-11-09T19:51:53Z</dcterms:modified>
</cp:coreProperties>
</file>